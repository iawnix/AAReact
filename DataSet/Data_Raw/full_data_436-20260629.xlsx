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475"/>
  </bookViews>
  <sheets>
    <sheet name="full_data_436-202606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<sst xmlns="http://schemas.openxmlformats.org/spreadsheetml/2006/main" count="4334" uniqueCount="624">
  <si>
    <t>DATA_ID</t>
  </si>
  <si>
    <t>CAT_NAME</t>
  </si>
  <si>
    <t>SOL_NAME</t>
  </si>
  <si>
    <t>PRO_R_NAME</t>
  </si>
  <si>
    <t>PRO_S_NAME</t>
  </si>
  <si>
    <t>REA_NAME</t>
  </si>
  <si>
    <t>CAT_SMI</t>
  </si>
  <si>
    <t>SOL_SMI</t>
  </si>
  <si>
    <t>PRO_R_SMI</t>
  </si>
  <si>
    <t>PRO_S_SMI</t>
  </si>
  <si>
    <t>REA_SMI</t>
  </si>
  <si>
    <t>TEMP</t>
  </si>
  <si>
    <t>PRESSURE</t>
  </si>
  <si>
    <t>EE</t>
  </si>
  <si>
    <t>DDG</t>
  </si>
  <si>
    <t>CONV</t>
  </si>
  <si>
    <t>BATCH</t>
  </si>
  <si>
    <t>R</t>
  </si>
  <si>
    <t>1-EE</t>
  </si>
  <si>
    <t>1+EE</t>
  </si>
  <si>
    <t>ratio</t>
  </si>
  <si>
    <t>CtoK</t>
  </si>
  <si>
    <t>IAW00000000</t>
  </si>
  <si>
    <t>CAT-1</t>
  </si>
  <si>
    <t>SOL-1</t>
  </si>
  <si>
    <t>PRO_R-1</t>
  </si>
  <si>
    <t>PRO_S-1</t>
  </si>
  <si>
    <t>REA-1</t>
  </si>
  <si>
    <t>[Ru+2]123(&lt;-[P:1]([C:7]4=[C:8]([H:40])[C:60]([H:66])=[C:67]5[C:61](=[C:9]4[C:15]4=[C:14]6[C:13](=[C:12]([H:42])[C:11]([H:41])=[C:10]4[P:2]-&gt;1([C:28]1=[C:29]([H:54])[C:30]([H:55])=[C:31]([H:56])[C:32]([H:57])=[C:33]1[H:58])[C:34]1=[C:35]([H:59])[C:65]([H:74])=[C:75]([H:82])[C:73]([H:81])=[C:64]1[H:72])[C:62]([H:43])=[C:69]([H:79])[C:71]([H:80])=[C:63]6[H:70])[C:68]([H:77])=[C:78]([H:85])[C:83]([H:86])=[C:76]5[H:84])([C:16]1=[C:21]([H:48])[C:20]([H:47])=[C:19]([H:46])[C:18]([H:45])=[C:17]1[H:44])[C:22]1=[C:27]([H:53])[C:26]([H:52])=[C:25]([H:51])[C:24]([H:50])=[C:23]1[H:49])(&lt;-[O-:3][C:36](=[O:4]-&gt;2)[C@@:37]([H:87])([H:88])[H:92])&lt;-[O:5]=[C:38]([O-:6]-&gt;3)[C@@:39]([H:89])([H:90])[H:91]</t>
  </si>
  <si>
    <t>[H]OC([H])([H])[H]</t>
  </si>
  <si>
    <t>[H]OC(=O)[C@@]([H])(C1=C([H])C([H])=C([H])C([H])=C1[H])C([H])([H])C([H])([H])[H]</t>
  </si>
  <si>
    <t>[H]OC(=O)[C@]([H])(C1=C([H])C([H])=C([H])C([H])=C1[H])C([H])([H])C([H])([H])[H]</t>
  </si>
  <si>
    <t>IAW00000001</t>
  </si>
  <si>
    <t>PRO_R-2</t>
  </si>
  <si>
    <t>PRO_S-2</t>
  </si>
  <si>
    <t>REA-2</t>
  </si>
  <si>
    <t>[H]OC(=O)[C@@]([H])(C1=C([H])C([H])=C([H])C([H])=C1[H])C([H])([H])C1=C([H])C([H])=C([H])C([H])=C1[H]</t>
  </si>
  <si>
    <t>[H]OC(=O)[C@]([H])(C1=C([H])C([H])=C([H])C([H])=C1[H])C([H])([H])C1=C([H])C([H])=C([H])C([H])=C1[H]</t>
  </si>
  <si>
    <t>IAW00000002</t>
  </si>
  <si>
    <t>PRO_R-3</t>
  </si>
  <si>
    <t>PRO_S-3</t>
  </si>
  <si>
    <t>REA-3</t>
  </si>
  <si>
    <t>[H]OC(=O)[C@@]([H])(C1=C([H])C([H])=C([H])C([H])=C1[H])C([H])(C([H])([H])[H])C([H])([H])[H]</t>
  </si>
  <si>
    <t>[H]OC(=O)[C@]([H])(C1=C([H])C([H])=C([H])C([H])=C1[H])C([H])(C([H])([H])[H])C([H])([H])[H]</t>
  </si>
  <si>
    <t>IAW00000003</t>
  </si>
  <si>
    <t>PRO_R-4</t>
  </si>
  <si>
    <t>PRO_S-4</t>
  </si>
  <si>
    <t>REA-4</t>
  </si>
  <si>
    <t>[H]OC(=O)[C@@]([H])(C1=C([H])C([H])=C(Cl)C([H])=C1[H])C([H])(C([H])([H])[H])C([H])([H])[H]</t>
  </si>
  <si>
    <t>[H]OC(=O)[C@]([H])(C1=C([H])C([H])=C(Cl)C([H])=C1[H])C([H])(C([H])([H])[H])C([H])([H])[H]</t>
  </si>
  <si>
    <t>IAW00000004</t>
  </si>
  <si>
    <t>IAW00000005</t>
  </si>
  <si>
    <t>IAW00000006</t>
  </si>
  <si>
    <t>IAW00000007</t>
  </si>
  <si>
    <t>IAW00000008</t>
  </si>
  <si>
    <t>IAW00000009</t>
  </si>
  <si>
    <t>IAW00000010</t>
  </si>
  <si>
    <t>IAW00000011</t>
  </si>
  <si>
    <t>IAW00000012</t>
  </si>
  <si>
    <t>IAW00000013</t>
  </si>
  <si>
    <t>IAW00000014</t>
  </si>
  <si>
    <t>IAW00000015</t>
  </si>
  <si>
    <t>IAW00000016</t>
  </si>
  <si>
    <t>IAW00000017</t>
  </si>
  <si>
    <t>IAW00000018</t>
  </si>
  <si>
    <t>IAW00000019</t>
  </si>
  <si>
    <t>IAW00000020</t>
  </si>
  <si>
    <t>IAW00000021</t>
  </si>
  <si>
    <t>IAW00000022</t>
  </si>
  <si>
    <t>IAW00000023</t>
  </si>
  <si>
    <t>IAW00000024</t>
  </si>
  <si>
    <t>IAW00000025</t>
  </si>
  <si>
    <t>IAW00000026</t>
  </si>
  <si>
    <t>IAW00000027</t>
  </si>
  <si>
    <t>IAW00000028</t>
  </si>
  <si>
    <t>IAW00000029</t>
  </si>
  <si>
    <t>IAW00000030</t>
  </si>
  <si>
    <t>IAW00000031</t>
  </si>
  <si>
    <t>IAW00000032</t>
  </si>
  <si>
    <t>IAW00000033</t>
  </si>
  <si>
    <t>IAW00000034</t>
  </si>
  <si>
    <t>IAW00000035</t>
  </si>
  <si>
    <t>IAW00000036</t>
  </si>
  <si>
    <t>CAT-2</t>
  </si>
  <si>
    <t>[Ru+2]123(&lt;-[P:1]([C:9]4=[C:17]([H:19])[C:11]([H:67])=[C:27]([H:68])[C:41]([H:69])=[C:13]4[H:15])([C:25]4=[C:31]([H:33])[C:23]([H:70])=[C:43]([H:71])[C:53]([H:72])=[C:49]4[H:51])[C:39]4=[C:21]([C:22]5=[C:8]6[O:4][C@:56]([H:58])([H:60])[O:6][C:30]6=[C:36]([H:38])[C:46]([H:48])=[C:40]5[P:2]-&gt;1([C:10]1=[C:14]([H:16])[C:42]([H:64])=[C:28]([H:65])[C:12]([H:66])=[C:18]1[H:20])[C:26]1=[C:32]([H:34])[C:24]([H:63])=[C:44]([H:62])[C:54]([H:61])=[C:50]1[H:52])[C:7]1=[C:29]([O:5][C@@:55]([H:57])([H:59])[O:3]1)[C:35]([H:37])=[C:45]4[H:47])(&lt;-[O-:75][C:73](=[O:77]-&gt;2)[C@@:79]([H:80])([H:81])[H:85])&lt;-[O-:76][C:74](=[O:78]-&gt;3)[C@:82]([H:83])([H:84])[H:86]</t>
  </si>
  <si>
    <t>IAW00000037</t>
  </si>
  <si>
    <t>IAW00000038</t>
  </si>
  <si>
    <t>IAW00000039</t>
  </si>
  <si>
    <t>IAW00000040</t>
  </si>
  <si>
    <t>IAW00000041</t>
  </si>
  <si>
    <t>IAW00000042</t>
  </si>
  <si>
    <t>IAW00000043</t>
  </si>
  <si>
    <t>IAW00000044</t>
  </si>
  <si>
    <t>IAW00000045</t>
  </si>
  <si>
    <t>IAW00000046</t>
  </si>
  <si>
    <t>IAW00000047</t>
  </si>
  <si>
    <t>IAW00000048</t>
  </si>
  <si>
    <t>IAW00000049</t>
  </si>
  <si>
    <t>IAW00000050</t>
  </si>
  <si>
    <t>IAW00000051</t>
  </si>
  <si>
    <t>IAW00000052</t>
  </si>
  <si>
    <t>IAW00000053</t>
  </si>
  <si>
    <t>IAW00000054</t>
  </si>
  <si>
    <t>IAW00000055</t>
  </si>
  <si>
    <t>IAW00000056</t>
  </si>
  <si>
    <t>IAW00000057</t>
  </si>
  <si>
    <t>IAW00000058</t>
  </si>
  <si>
    <t>IAW00000059</t>
  </si>
  <si>
    <t>IAW00000060</t>
  </si>
  <si>
    <t>CAT-3</t>
  </si>
  <si>
    <t>[Ru+2]123(&lt;-[P:1]([C:13]4=[C:17]([H:19])[C:45]([C@:67]([C@:145]([H:147])([H:149])[H:151])([C@:153]([H:155])([H:157])[H:159])[C@:161]([H:163])([H:165])[H:167])=[C:31]([O:9][C@:121]([H:123])([H:125])[H:127])[C:15]([C@:69]([C@:87]([H:89])([H:91])[H:93])([C@:105]([H:107])([H:109])[H:111])[C@:129]([H:131])([H:133])[H:135])=[C:21]4[H:23])([C:29]4=[C:55]([H:57])[C:71]([C@:103]([C@:95]([H:97])([H:99])[H:101])([C@:137]([H:139])([H:141])[H:143])[C@:171]([H:179])([H:180])[H:181])=[C:47]([O:7][C@@:169]([H:173])([H:174])[H:175])[C:27]([C@@:49]([C@:59]([H:61])([H:63])[H:65])([C@:73]([H:75])([H:77])[H:79])[C@:113]([H:115])([H:117])[H:119])=[C:35]4[H:37])[C:43]4=[C:25]([C:26]5=[C:12]6[O:4][C@:82]([H:84])([H:86])[O:6][C:34]6=[C:40]([H:42])[C:52]([H:54])=[C:44]5[P:2]-&gt;1([C:14]1=[C:18]([H:20])[C:46]([C@:68]([C@:146]([H:148])([H:150])[H:152])([C@:154]([H:156])([H:158])[H:160])[C@:162]([H:164])([H:166])[H:168])=[C:32]([O:10][C@:122]([H:124])([H:126])[H:128])[C:16]([C@:70]([C@:88]([H:90])([H:92])[H:94])([C@:106]([H:108])([H:110])[H:112])[C@:130]([H:132])([H:134])[H:136])=[C:22]1[H:24])[C:30]1=[C:36]([H:38])[C:28]([C@@:50]([C@:60]([H:62])([H:64])[H:66])([C@:74]([H:76])([H:78])[H:80])[C@:114]([H:116])([H:118])[H:120])=[C:48]([O:8][C@@:170]([H:176])([H:177])[H:178])[C:72]([C@:104]([C@:96]([H:98])([H:100])[H:102])([C@:138]([H:140])([H:142])[H:144])[C@:172]([H:182])([H:183])[H:184])=[C:56]1[H:58])[C:11]1=[C:33]([O:5][C@@:81]([H:83])([H:85])[O:3]1)[C:39]([H:41])=[C:51]4[H:53])(&lt;-[O:187]=[C:185]([O-:189]-&gt;2)[C@@:191]([H:192])([H:193])[H:194])&lt;-[O:188]=[C:186]([O-:190]-&gt;3)[C@@:195]([H:196])([H:197])[H:198]</t>
  </si>
  <si>
    <t>IAW00000061</t>
  </si>
  <si>
    <t>IAW00000062</t>
  </si>
  <si>
    <t>IAW00000063</t>
  </si>
  <si>
    <t>IAW00000064</t>
  </si>
  <si>
    <t>IAW00000065</t>
  </si>
  <si>
    <t>IAW00000066</t>
  </si>
  <si>
    <t>IAW00000067</t>
  </si>
  <si>
    <t>IAW00000068</t>
  </si>
  <si>
    <t>IAW00000069</t>
  </si>
  <si>
    <t>IAW00000070</t>
  </si>
  <si>
    <t>IAW00000071</t>
  </si>
  <si>
    <t>IAW00000072</t>
  </si>
  <si>
    <t>IAW00000073</t>
  </si>
  <si>
    <t>IAW00000074</t>
  </si>
  <si>
    <t>IAW00000075</t>
  </si>
  <si>
    <t>IAW00000076</t>
  </si>
  <si>
    <t>IAW00000077</t>
  </si>
  <si>
    <t>IAW00000078</t>
  </si>
  <si>
    <t>IAW00000079</t>
  </si>
  <si>
    <t>IAW00000080</t>
  </si>
  <si>
    <t>IAW00000081</t>
  </si>
  <si>
    <t>IAW00000082</t>
  </si>
  <si>
    <t>IAW00000083</t>
  </si>
  <si>
    <t>IAW00000084</t>
  </si>
  <si>
    <t>IAW00000085</t>
  </si>
  <si>
    <t>IAW00000086</t>
  </si>
  <si>
    <t>IAW00000087</t>
  </si>
  <si>
    <t>IAW00000088</t>
  </si>
  <si>
    <t>IAW00000089</t>
  </si>
  <si>
    <t>IAW00000090</t>
  </si>
  <si>
    <t>IAW00000091</t>
  </si>
  <si>
    <t>IAW00000092</t>
  </si>
  <si>
    <t>CAT-4</t>
  </si>
  <si>
    <t>[Ru+2]1(&lt;-[Cl-:1])(&lt;-[Cl-:2])&lt;-[P:3]([C:5]2=[C:11]([H:24])[C:23]([H:45])=[C:46]([H:63])[C:25]([H:47])=[C:12]2[H:26])([C:6]2=[C:14]([C:19]3=[C:9]([P:4]-&gt;1([C:8]1=[C:17]([H:34])[C:35]([H:54])=[C:55]([H:68])[C:37]([H:56])=[C:18]1[H:36])[C:10]1=[C:22]([H:44])[C:43]([H:62])=[C:61]([H:72])[C:42]([H:60])=[C:21]1[H:41])[C:20]([H:39])=[C:40]([H:59])[C:58]1=[C:38]3[C:57]([H:69])=[C:70]([H:76])[C:77]([H:80])=[C:71]1[H:78])[C:29]1=[C:49]([C:28]([H:48])=[C:13]2[H:27])[C:64]([H:73])=[C:74]([H:79])[C:66]([H:75])=[C:50]1[H:65])[C:7]1=[C:16]([H:32])[C:33]([H:53])=[C:52]([H:67])[C:31]([H:51])=[C:15]1[H:30]</t>
  </si>
  <si>
    <t>IAW00000093</t>
  </si>
  <si>
    <t>IAW00000094</t>
  </si>
  <si>
    <t>IAW00000095</t>
  </si>
  <si>
    <t>IAW00000096</t>
  </si>
  <si>
    <t>CAT-5</t>
  </si>
  <si>
    <t>[Ru+2]123456(&lt;-[P:1]([C:4]7=[C:3]([C:19]8=[C:20]([P:2]-&gt;1([C:57]1=[C:66]([H:67])[C:64]([H:65])=[C:62]([H:63])[C:60]([H:61])=[C:58]1[H:59])[C:68]1=[C:69]([H:70])[C:71]([H:72])=[C:73]([H:74])[C:75]([H:76])=[C:77]1[H:78])[C:21]([H:22])=[C:23]([H:24])[C:25]1=[C:26]8[C:27]([H:28])=[C:29]([H:30])[C:31]([H:32])=[C:33]1[H:34])[C:10]1=[C:9]([C:7]([H:8])=[C:5]7[H:6])[C:17]([H:18])=[C:15]([H:16])[C:13]([H:14])=[C:11]1[H:12])([C:35]1=[C:44]([H:45])[C:42]([H:43])=[C:40]([H:41])[C:38]([H:39])=[C:36]1[H:37])[C:46]1=[C:47]([H:48])[C:49]([H:50])=[C:51]([H:52])[C:53]([H:54])=[C:55]1[H:56])(&lt;-[C:79]1([C@:89]([H:90])([H:91])[H:92])=[C:87]-&gt;2([H:88])[C:85]-&gt;3([H:86])=[C:84]-&gt;4([C@:93]([H:94])([C@@:95]([H:101])([H:102])[H:103])[C@@:96]([H:98])([H:99])[H:100])[C:82]-&gt;5([H:83])=[C:80]-&gt;61[H:81])&lt;-[Cl-:97]</t>
  </si>
  <si>
    <t>IAW00000097</t>
  </si>
  <si>
    <t>IAW00000098</t>
  </si>
  <si>
    <t>IAW00000099</t>
  </si>
  <si>
    <t>IAW00000100</t>
  </si>
  <si>
    <t>CAT-6</t>
  </si>
  <si>
    <t>[Ru+2]123456(&lt;-[Cl-:1])(&lt;-[P:2]([C:5]7=[C:4]([C:20]8=[C:21]([P:3]-&gt;1([C:47]1=[C:55]([H:56])[C:53]([H:54])=[C:52]([C@@:100]([H:101])([H:102])[H:103])[C:50]([H:51])=[C:48]1[H:49])[C:57]1=[C:86]([H:58])[C:96]([H:99])=[C:98]([C@@:104]([H:105])([H:106])[H:107])[C:95]([H:97])=[C:85]1[H:94])[C:80]([H:90])=[C:82]([H:92])[C:22]1=[C:23]8[C:24]([H:25])=[C:26]([H:27])[C:28]([H:29])=[C:81]1[H:91])[C:11]1=[C:10]([C:8]([H:9])=[C:6]7[H:7])[C:18]([H:19])=[C:16]([H:17])[C:14]([H:15])=[C:12]1[H:13])([C:30]1=[C:31]([H:32])[C:33]([H:34])=[C:35]([C@@:108]([H:109])([H:110])[H:111])[C:36]([H:37])=[C:38]1[H:39])[C:40]1=[C:41]([H:42])[C:83]([H:93])=[C:84]([C@@:112]([H:113])([H:114])[H:115])[C:43]([H:44])=[C:45]1[H:46])&lt;-[C:59]1([C@:68]([H:69])([H:70])[H:88])=[C:66]-&gt;2([H:67])[C:64]-&gt;3([H:65])=[C:63]-&gt;4([C@:71]([H:72])([C@@:73]([H:74])([H:75])[H:89])[C@:76]([H:77])([H:78])[H:79])[C:61]-&gt;5([H:62])=[C:60]-&gt;61[H:87]</t>
  </si>
  <si>
    <t>IAW00000101</t>
  </si>
  <si>
    <t>IAW00000102</t>
  </si>
  <si>
    <t>IAW00000103</t>
  </si>
  <si>
    <t>IAW00000104</t>
  </si>
  <si>
    <t>CAT-7</t>
  </si>
  <si>
    <t>[Ru+2]12(&lt;-[Cl-:1])(&lt;-[Cl-:2])(&lt;-[P:3]([C:29]3=[C:38]([C:28]4=[C:21]([P:4]-&gt;1([C:52]1=[C:53]([H:99])[C:54]([H:100])=[C:55]([C@:58]([H:102])([H:103])[H:113])[C:56]([H:112])=[C:57]1[H:101])[C:59]1=[C:60]([H:104])[C:114]([H:120])=[C:115]([C@:121]([H:122])([H:123])[H:124])[C:61]([H:105])=[C:62]1[H:106])[C:22]([H:79])=[C:23]([H:80])[C:24]1=[C:27]4[C:26]([H:82])=[C:108]([H:117])[C:107]([H:116])=[C:25]1[H:81])[C:37]1=[C:32]([C:31]([H:84])=[C:30]3[H:83])[C:33]([H:85])=[C:34]([H:109])[C:35]([H:110])=[C:36]1[H:86])([C:39]1=[C:40]([H:87])[C:41]([H:88])=[C:42]([C@:45]([H:91])([H:92])[H:93])[C:43]([H:89])=[C:44]1[H:90])[C:46]1=[C:47]([H:94])[C:48]([H:95])=[C:49]([C@:111]([H:98])([H:118])[H:119])[C:50]([H:96])=[C:51]1[H:97])&lt;-[N:5]([C@@:7]([C@:8]([N:6]-&gt;2([H:65])[H:66])([C:15]1=[C:16]([H:74])[C:17]([H:75])=[C:18]([H:76])[C:19]([H:77])=[C:20]1[H:78])[H:68])([C:9]1=[C:10]([H:69])[C:11]([H:70])=[C:12]([H:71])[C:13]([H:72])=[C:14]1[H:73])[H:67])([H:63])[H:64]</t>
  </si>
  <si>
    <t>IAW00000105</t>
  </si>
  <si>
    <t>IAW00000106</t>
  </si>
  <si>
    <t>IAW00000107</t>
  </si>
  <si>
    <t>IAW00000108</t>
  </si>
  <si>
    <t>CAT-8</t>
  </si>
  <si>
    <t>[Ru+2]123456(&lt;-[N-:3]([S@@:1](=[O:2])([C:10]7=[C:11]([H:27])[C:12]([H:28])=[C:13]([C@@:16]([H:31])([H:32])[H:33])[C:14]([H:29])=[C:15]7[H:30])=[O:42])[C@:4]([C:5]7=[C:6]([H:45])[C:7]([H:47])=[C:46]([H:51])[C:8]([H:25])=[C:9]7[H:26])([H:43])[C@@:44]([H:23])([N:41]-&gt;1([H:71])[H:72])[C:50]1=[C:54]([H:24])[C:60]([H:69])=[C:68]([H:70])[C:58]([H:67])=[C:53]1[H:59])(&lt;-[C:17]1([H:49])=[C:18]-&gt;2([H:34])[C:19]-&gt;3([C@@:22]([H:37])([H:38])[H:39])=[C:20]-&gt;4([H:35])[C:21]-&gt;5([H:36])=[C:48]-&gt;61[C@:52]([H:55])([C@:56]([H:61])([H:62])[H:63])[C@:57]([H:64])([H:65])[H:66])&lt;-[Cl-:40]</t>
  </si>
  <si>
    <t>IAW00000109</t>
  </si>
  <si>
    <t>IAW00000110</t>
  </si>
  <si>
    <t>IAW00000111</t>
  </si>
  <si>
    <t>IAW00000112</t>
  </si>
  <si>
    <t>CAT-9</t>
  </si>
  <si>
    <t>[Ru+2]123(&lt;-[Cl-:2]-&gt;[Ru+2:122]4(&lt;-[Cl-:1])(&lt;-[Cl-:3]-&gt;1)(&lt;-[P:5]([C:11]1=[C:9]([C:22]5=[C:24]([P:7]-&gt;4([C:59]4=[C:69]([H:113])[C:67]([H:111])=[C:65]([H:140])[C:63]([H:109])=[C:61]4[H:107])[C:71]4=[C:81]([H:121])[C:79]([H:119])=[C:77]([H:139])[C:75]([H:117])=[C:73]4[H:115])[C:26]([H:87])=[C:28]([H:89])[C:30]4=[C:33]5[O:144][C@@:31]([H:147])([H:148])[O:143]4)[C:20]4=[C:17]([C:15]([H:85])=[C:13]1[H:83])[O:146][C@:18]([H:149])([H:150])[O:145]4)([C:35]1=[C:37]([H:91])[C:39]([H:93])=[C:41]([H:142])[C:43]([H:95])=[C:45]1[H:97])[C:47]1=[C:49]([H:99])[C:51]([H:101])=[C:53]([H:141])[C:55]([H:103])=[C:57]1[H:105])&lt;-[Cl-:123]-&gt;2)(&lt;-[P:4]([C:10]1=[C:8]([C:21]2=[C:23]([P:6]-&gt;3([C:58]3=[C:68]([H:112])[C:66]([H:110])=[C:64]([H:126])[C:62]([H:108])=[C:60]3[H:106])[C:70]3=[C:80]([H:120])[C:78]([H:118])=[C:76]([H:125])[C:74]([H:116])=[C:72]3[H:114])[C:25]([H:86])=[C:27]([H:88])[C:29]3=[C:32]2[O:130][C@@:133]([H:134])([H:135])[O:129]3)[C:19]2=[C:16]([C:14]([H:84])=[C:12]1[H:82])[O:132][C@:136]([H:137])([H:138])[O:131]2)([C:34]1=[C:44]([H:96])[C:42]([H:94])=[C:40]([H:127])[C:38]([H:92])=[C:36]1[H:90])[C:46]1=[C:48]([H:98])[C:50]([H:100])=[C:52]([H:128])[C:54]([H:102])=[C:56]1[H:104])&lt;-[Cl-:124]</t>
  </si>
  <si>
    <t>IAW00000113</t>
  </si>
  <si>
    <t>IAW00000114</t>
  </si>
  <si>
    <t>IAW00000115</t>
  </si>
  <si>
    <t>IAW00000116</t>
  </si>
  <si>
    <t>CAT-10</t>
  </si>
  <si>
    <t>[Ru+2]123456(&lt;-[Cl-:1])(&lt;-[P:2]([C:5]7=[C:6]([H:7])[C:8]([H:9])=[C:10]8[C:11](=[C:4]7[C:13]7=[C:16]9[C:15](=[C:71]([H:80])[C:70]([H:79])=[C:14]7[P:3]-&gt;1([C:36]1=[C:37]([H:38])[C:39]([H:40])=[C:41]([H:42])[C:43]([H:44])=[C:45]1[H:46])[C:47]1=[C:74]([H:83])[C:84]([H:86])=[C:87]([H:89])[C:85]([H:88])=[C:75]1[H:48])[O:90][C@@:17]([H:94])([H:95])[O:91]9)[O:92][C@@:12]([H:96])([H:97])[O:93]8)([C:18]1=[C:27]([H:28])[C:25]([H:26])=[C:23]([H:24])[C:21]([H:22])=[C:19]1[H:20])[C:29]1=[C:30]([H:31])[C:72]([H:81])=[C:73]([H:82])[C:32]([H:33])=[C:34]1[H:35])&lt;-[C:49]1([C@:58]([H:59])([H:60])[H:77])=[C:50]-&gt;2([H:76])[C:51]-&gt;3([H:52])=[C:53]-&gt;4([C@:61]([H:62])([C@@:63]([H:64])([H:65])[H:78])[C@:66]([H:67])([H:68])[H:69])[C:54]-&gt;5([H:55])=[C:56]-&gt;61[H:57]</t>
  </si>
  <si>
    <t>IAW00000117</t>
  </si>
  <si>
    <t>IAW00000118</t>
  </si>
  <si>
    <t>IAW00000119</t>
  </si>
  <si>
    <t>IAW00000120</t>
  </si>
  <si>
    <t>CAT-11</t>
  </si>
  <si>
    <t>[Ru+2]123(&lt;-[P:1]([C:7]4=[C:9]([C:15]5=[C:10]([P:2]-&gt;1([C:28]1=[C:29]([H:52])[C:30]([H:53])=[C:31]([C@@:87]([H:88])([H:89])[H:90])[C:32]([H:54])=[C:33]1[H:55])[C:34]1=[C:35]([H:56])[C:62]([H:71])=[C:72]([C@@:83]([H:84])([H:85])[H:86])[C:70]([H:78])=[C:61]1[H:69])[C:11]([H:41])=[C:12]([H:42])[C:13]1=[C:14]5[C:60]([H:67])=[C:68]([H:77])[C:66]([H:76])=[C:59]1[H:43])[C:58]1=[C:64]([C:57]([H:63])=[C:8]4[H:40])[C:73]([H:80])=[C:79]([H:82])[C:75]([H:81])=[C:65]1[H:74])([C:16]1=[C:21]([H:47])[C:20]([H:46])=[C:19]([C@@:91]([H:92])([H:93])[H:94])[C:18]([H:45])=[C:17]1[H:44])[C:22]1=[C:23]([H:48])[C:24]([H:49])=[C:25]([C@@:95]([H:96])([H:97])[H:98])[C:26]([H:50])=[C:27]1[H:51])(&lt;-[O-:3][C:36](=[O:4]-&gt;2)[C@@:37]([H:99])([H:100])[H:101])&lt;-[O:5]=[C:38]([O-:6]-&gt;3)[C@@:39]([H:102])([H:103])[H:104]</t>
  </si>
  <si>
    <t>IAW00000121</t>
  </si>
  <si>
    <t>IAW00000122</t>
  </si>
  <si>
    <t>IAW00000123</t>
  </si>
  <si>
    <t>IAW00000124</t>
  </si>
  <si>
    <t>IAW00000125</t>
  </si>
  <si>
    <t>IAW00000126</t>
  </si>
  <si>
    <t>IAW00000127</t>
  </si>
  <si>
    <t>IAW00000128</t>
  </si>
  <si>
    <t>CAT-12</t>
  </si>
  <si>
    <t>[Ru+2]12(&lt;-[Cl-:1])(&lt;-[Cl-:2])(&lt;-[P:3]([C:29]3=[C:38]([C:28]4=[C:21]([P:4]-&gt;1([C:52]1=[C:57]([H:99])[C:56]([H:110])=[C:55]([C@:58]([H:100])([H:101])[H:111])[C:54]([H:98])=[C:53]1[H:97])[C:59]1=[C:62]([H:104])[C:61]([H:103])=[C:113]([C@:119]([H:120])([H:121])[H:122])[C:112]([H:118])=[C:60]1[H:102])[C:22]([H:77])=[C:23]([H:78])[C:24]1=[C:27]4[C:26]([H:80])=[C:106]([H:115])[C:105]([H:114])=[C:25]1[H:79])[C:37]1=[C:32]([C:31]([H:82])=[C:30]3[H:81])[C:33]([H:83])=[C:34]([H:107])[C:35]([H:108])=[C:36]1[H:84])([C:39]1=[C:44]([H:88])[C:43]([H:87])=[C:42]([C@:45]([H:89])([H:90])[H:91])[C:41]([H:86])=[C:40]1[H:85])[C:46]1=[C:47]([H:92])[C:48]([H:93])=[C:49]([C@:109]([H:96])([H:116])[H:117])[C:50]([H:94])=[C:51]1[H:95])&lt;-[N:5]([C@@:7]([C@:8]([N:6]-&gt;2([H:65])[H:66])([C:15]1=[C:20]([H:76])[C:19]([H:75])=[C:18]([C@@:127]([H:128])([H:129])[H:130])[C:17]([H:74])=[C:16]1[H:73])[H:68])([C:9]1=[C:10]([H:69])[C:11]([H:70])=[C:12]([C@@:123]([H:124])([H:125])[H:126])[C:13]([H:71])=[C:14]1[H:72])[H:67])([H:63])[H:64]</t>
  </si>
  <si>
    <t>IAW00000129</t>
  </si>
  <si>
    <t>IAW00000130</t>
  </si>
  <si>
    <t>IAW00000131</t>
  </si>
  <si>
    <t>IAW00000132</t>
  </si>
  <si>
    <t>CAT-13</t>
  </si>
  <si>
    <t>[Ru+2]123(&lt;-[P:1]([C:7]4=[C:9]([C:15]5=[C:10]([P:2]-&gt;1([C:28]1=[C:29]([H:50])[C:30]([C@@:103]([H:104])([H:105])[H:106])=[C:31]([H:51])[C:32]([C@@:107]([H:108])([H:109])[H:110])=[C:33]1[H:52])[C:34]1=[C:58]([H:66])[C:67]([C@@:99]([H:100])([H:101])[H:102])=[C:68]([H:74])[C:59]([C@@:95]([H:96])([H:97])[H:98])=[C:35]1[H:53])[C:11]([H:41])=[C:12]([H:42])[C:13]1=[C:14]5[C:57]([H:64])=[C:65]([H:73])[C:63]([H:72])=[C:56]1[H:43])[C:55]1=[C:61]([C:54]([H:60])=[C:8]4[H:40])[C:69]([H:76])=[C:75]([H:78])[C:71]([H:77])=[C:62]1[H:70])([C:16]1=[C:17]([H:44])[C:18]([C@@:79]([H:80])([H:81])[H:82])=[C:19]([H:45])[C:20]([C@@:83]([H:84])([H:85])[H:86])=[C:21]1[H:46])[C:22]1=[C:23]([H:47])[C:24]([C@@:87]([H:88])([H:89])[H:90])=[C:25]([H:48])[C:26]([C@@:91]([H:92])([H:93])[H:94])=[C:27]1[H:49])(&lt;-[O-:3][C:36](=[O:4]-&gt;2)[C@@:37]([H:114])([H:115])[H:116])&lt;-[O:5]=[C:38]([O-:6]-&gt;3)[C@@:39]([H:111])([H:112])[H:113]</t>
  </si>
  <si>
    <t>IAW00000133</t>
  </si>
  <si>
    <t>IAW00000134</t>
  </si>
  <si>
    <t>IAW00000135</t>
  </si>
  <si>
    <t>IAW00000136</t>
  </si>
  <si>
    <t>IAW00000137</t>
  </si>
  <si>
    <t>IAW00000138</t>
  </si>
  <si>
    <t>IAW00000139</t>
  </si>
  <si>
    <t>IAW00000140</t>
  </si>
  <si>
    <t>CAT-14</t>
  </si>
  <si>
    <t>[Ru+2]123(&lt;-[P:1]([C:7]4=[C:9]([C:15]5=[C:10]([P:2]-&gt;1([C:28]1=[C:29]([H:53])[C:30]([H:54])=[C:31]([H:55])[C:32]([H:56])=[C:33]1[H:57])[C:34]1=[C:35]([H:58])[C:62]([H:67])=[C:68]([H:70])[C:66]([H:69])=[C:61]1[H:65])[C:11]([H:41])=[C:12]([H:42])[C:13]1=[C:14]5[C@@:71]([H:72])([H:73])[C@@:77]([H:79])([H:80])[C@:78]([H:81])([H:82])[C@:74]1([H:75])[H:76])[C:60]1=[C:64]([C:59]([H:63])=[C:8]4[H:40])[C@@:86]([H:87])([H:88])[C@@:90]([H:93])([H:94])[C@:89]([H:91])([H:92])[C@:83]1([H:84])[H:85])([C:16]1=[C:21]([H:47])[C:20]([H:46])=[C:19]([H:45])[C:18]([H:44])=[C:17]1[H:43])[C:22]1=[C:23]([H:48])[C:24]([H:49])=[C:25]([H:50])[C:26]([H:51])=[C:27]1[H:52])(&lt;-[O:3]=[C:36]([O-:4]-&gt;2)[C@@:37]([H:95])([H:96])[H:97])&lt;-[O-:5][C:38](=[O:6]-&gt;3)[C@@:39]([H:98])([H:99])[H:100]</t>
  </si>
  <si>
    <t>IAW00000141</t>
  </si>
  <si>
    <t>IAW00000142</t>
  </si>
  <si>
    <t>IAW00000143</t>
  </si>
  <si>
    <t>IAW00000144</t>
  </si>
  <si>
    <t>IAW00000145</t>
  </si>
  <si>
    <t>IAW00000146</t>
  </si>
  <si>
    <t>IAW00000147</t>
  </si>
  <si>
    <t>IAW00000148</t>
  </si>
  <si>
    <t>IAW00000149</t>
  </si>
  <si>
    <t>IAW00000150</t>
  </si>
  <si>
    <t>IAW00000151</t>
  </si>
  <si>
    <t>IAW00000152</t>
  </si>
  <si>
    <t>CAT-15</t>
  </si>
  <si>
    <t>[Ru+2]123(&lt;-[Cl-:2]-&gt;[Ru+2:137]4(&lt;-[Cl-:1])(&lt;-[Cl-:3]-&gt;1)(&lt;-[P:5]([C:11]1=[C:9]([C:29]5=[C:31]([P:7]-&gt;4([C:73]4=[C:83]([H:132])[C:81]([C@@:175]([H:176])([H:177])[H:178])=[C:79]([H:179])[C:77]([C@@:171]([H:172])([H:173])[H:174])=[C:75]4[H:129])[C:85]4=[C:95]([H:136])[C:93]([C@@:163]([H:164])([H:165])[H:166])=[C:91]([H:140])[C:89]([C@@:167]([H:168])([H:169])[H:170])=[C:87]4[H:134])[C:33]([H:109])=[C:35]([H:111])[C:37]4=[C:47]5[C:45]([H:119])=[C:43]([H:117])[C:41]([H:115])=[C:39]4[H:113])[C:27]4=[C:17]([C:15]([H:99])=[C:13]1[H:97])[C:19]([H:101])=[C:21]([H:103])[C:23]([H:105])=[C:25]4[H:107])([C:49]1=[C:59]([H:123])[C:57]([C@@:192]([H:193])([H:194])[H:195])=[C:55]([H:144])[C:53]([C@@:188]([H:189])([H:190])[H:191])=[C:51]1[H:121])[C:61]1=[C:71]([H:127])[C:69]([C@@:184]([H:185])([H:186])[H:187])=[C:67]([H:145])[C:65]([C@@:180]([H:181])([H:182])[H:183])=[C:63]1[H:125])&lt;-[Cl-:138]-&gt;2)(&lt;-[P:4]([C:10]1=[C:8]([C:28]2=[C:30]([P:6]-&gt;3([C:72]3=[C:82]([H:131])[C:80]([C@@:204]([H:205])([H:206])[H:207])=[C:78]([H:142])[C:76]([H:130])=[C:74]3[H:128])[C:84]3=[C:86]([H:133])[C:88]([C@@:200]([H:201])([H:202])[H:203])=[C:90]([H:143])[C:92]([C@@:196]([H:197])([H:198])[H:199])=[C:94]3[H:135])[C:32]([H:108])=[C:34]([H:110])[C:36]3=[C:46]2[C:44]([H:118])=[C:42]([H:116])[C:40]([H:114])=[C:38]3[H:112])[C:26]2=[C:16]([C:14]([H:98])=[C:12]1[H:96])[C:18]([H:100])=[C:20]([H:102])[C:22]([H:104])=[C:24]2[H:106])([C:48]1=[C:58]([H:122])[C:56]([C@@:159]([H:160])([H:161])[H:162])=[C:54]([H:146])[C:52]([C@@:155]([H:156])([H:157])[H:158])=[C:50]1[H:120])[C:60]1=[C:70]([H:126])[C:68]([C@@:151]([H:152])([H:153])[H:154])=[C:66]([H:141])[C:64]([C@@:147]([H:148])([H:149])[H:150])=[C:62]1[H:124])&lt;-[Cl-:139]</t>
  </si>
  <si>
    <t>IAW00000153</t>
  </si>
  <si>
    <t>IAW00000154</t>
  </si>
  <si>
    <t>IAW00000155</t>
  </si>
  <si>
    <t>IAW00000156</t>
  </si>
  <si>
    <t>CAT-16</t>
  </si>
  <si>
    <t>[P]1([C:2]2=[C:4]([H:55])[C:6]([C@:7]([H:74])([H:76])[H:77])=[C:8]([H:56])[C:10]([C@:12]([H:81])([H:82])[H:83])=[C:13]2[H:57])([C:14]2=[C:19]([C:20]3=[C:25]([P:1]([C:26]4=[C:27]([H:64])[C:28]([C@:29]([H:84])([H:85])[H:86])=[C:30]([H:65])[C:31]([C@@:32]([H:87])([H:88])[H:89])=[C:33]4[H:68])(-&gt;[Ru+2:54]&lt;-14(&lt;-[N:3]([C@@:34]([C:35]1=[C:36]([H:69])[C:37]([H:70])=[C:38]([O:9][C@@:39]([H:90])([H:91])[H:92])[C:40]([H:71])=[C:41]1[H:72])([C:42]1=[C:48]([H:102])[C:47]([H:78])=[C:45]([O:11][C@@:46]([H:93])([H:94])[H:95])[C:44]([H:75])=[C:43]1[H:73])[C@@:49]([N:5]-&gt;4([H:66])[H:67])([C@@:50]([C@@:51]([H:96])([H:97])[H:98])([C@@:52]([H:99])([H:100])[H:101])[H:80])[H:79])([H:60])[H:61])(&lt;-[Cl-:53])&lt;-[Cl-:103])[C:129]1=[C:130]([H:133])[C:132]([C@@:150]([H:151])([H:152])[H:153])=[C:136]([H:137])[C:134]([C@@:146]([H:147])([H:148])[H:149])=[C:131]1[H:135])[C:24]([H:63])=[C:23]([H:62])[C:22]1=[C:21]3[C:115]([H:119])=[C:114]([H:118])[C:113]([H:117])=[C:112]1[H:116])[C:18]1=[C:17]([C:16]([H:59])=[C:15]2[H:58])[C:107]([H:111])=[C:106]([H:110])[C:105]([H:109])=[C:104]1[H:108])[C:120]1=[C:122]([H:126])[C:125]([C@@:138]([H:139])([H:140])[H:141])=[C:127]([H:128])[C:123]([C@@:142]([H:143])([H:144])[H:145])=[C:121]1[H:124]</t>
  </si>
  <si>
    <t>IAW00000157</t>
  </si>
  <si>
    <t>IAW00000158</t>
  </si>
  <si>
    <t>IAW00000159</t>
  </si>
  <si>
    <t>IAW00000160</t>
  </si>
  <si>
    <t>CAT-17</t>
  </si>
  <si>
    <t>[P]1([C:2]2=[C:17]([H:79])[C:14]([C@:16]([H:109])([H:110])[H:111])=[C:12]([H:78])[C:8]([C@:10]([H:102])([H:104])[H:105])=[C:5]2[H:77])([C:18]2=[C:19]([H:80])[C:20]([C@:21]([H:112])([H:113])[H:114])=[C:22]([H:81])[C:23]([C@:24]([H:115])([H:116])[H:117])=[C:25]2[H:82])[C:26]2=[C:32]([C:33]3=[C:39]([P:1]([C:40]4=[C:41]([H:89])[C:42]([C@:43]([H:122])([H:123])[H:124])=[C:44]([H:90])[C:45]([C@:46]([H:125])([H:126])[H:127])=[C:47]4[H:93])([C:48]4=[C:55]([H:96])[C:53]([C@:54]([H:131])([H:132])[H:133])=[C:52]([H:95])[C:50]([C@:51]([H:128])([H:129])[H:130])=[C:49]4[H:94])-&gt;[Ru+2:76]&lt;-14(&lt;-[N:3]([C@:56]([C:57]1=[C:63]([H:100])[C:62]([H:99])=[C:60]([O:13][C@:61]([H:134])([H:135])[H:136])[C:59]([H:98])=[C:58]1[H:97])([C:64]1=[C:70]([H:146])[C:69]([H:106])=[C:67]([O:15][C@:68]([H:137])([H:138])[H:139])[C:66]([H:103])=[C:65]1[H:101])[C@@:71]([N:6]-&gt;4([H:91])[H:92])([C@@:72]([C@:73]([H:140])([H:141])[H:142])([C@:74]([H:143])([H:144])[H:145])[H:108])[H:107])([H:85])[H:86])(&lt;-[Cl-:75])&lt;-[Cl-:147])[C:38]([H:88])=[C:37]([H:87])[C:36]1=[C:34]3[O:9][C@:35]([H:120])([H:121])[O:11]1)[C:31]1=[C:29]([O:4][C@@:30]([H:118])([H:119])[O:7]1)[C:28]([H:84])=[C:27]2[H:83]</t>
  </si>
  <si>
    <t>IAW00000161</t>
  </si>
  <si>
    <t>IAW00000162</t>
  </si>
  <si>
    <t>IAW00000163</t>
  </si>
  <si>
    <t>IAW00000164</t>
  </si>
  <si>
    <t>CAT-18</t>
  </si>
  <si>
    <t>[Ru+2]12(&lt;-[Cl-:1])(&lt;-[Cl-:2])(&lt;-[P:3]([C:16]3=[C:25]([C:15]4=[C:8]([P:4]-&gt;1([C:39]1=[C:40]([H:73])[C:41]([H:74])=[C:42]([C@:45]([H:76])([H:77])[H:87])[C:43]([H:86])=[C:44]1[H:75])[C:46]1=[C:49]([H:80])[C:48]([H:79])=[C:89]([C@:95]([H:96])([H:97])[H:98])[C:88]([H:94])=[C:47]1[H:78])[C:9]([H:53])=[C:10]([H:54])[C:11]1=[C:14]4[C:13]([H:56])=[C:82]([H:91])[C:81]([H:90])=[C:12]1[H:55])[C:24]1=[C:19]([C:18]([H:58])=[C:17]3[H:57])[C:20]([H:59])=[C:21]([H:83])[C:22]([H:84])=[C:23]1[H:60])([C:26]1=[C:27]([H:61])[C:28]([H:62])=[C:29]([C@:32]([H:65])([H:66])[H:67])[C:30]([H:63])=[C:31]1[H:64])[C:33]1=[C:34]([H:68])[C:35]([H:69])=[C:36]([C@:85]([H:72])([H:92])[H:93])[C:37]([H:70])=[C:38]1[H:71])&lt;-[N:5]([C@@:7]([H:52])([C:99]1=[N:6]-&gt;2[C:105]([H:106])=[C:103]([H:104])[C:102]([H:107])=[C:100]1[H:101])[H:108])([H:50])[H:51]</t>
  </si>
  <si>
    <t>IAW00000165</t>
  </si>
  <si>
    <t>IAW00000166</t>
  </si>
  <si>
    <t>IAW00000167</t>
  </si>
  <si>
    <t>IAW00000168</t>
  </si>
  <si>
    <t>CAT-19</t>
  </si>
  <si>
    <t>[P]1([C:16]2=[C:11]([C@@:10]([N:3]3([C@:2]4([H:51])[C@:4]([H:52])([H:53])[C@:6]([H:54])([H:55])[C@@:7]([H:56])([H:57])[C@@:8]([H:58])([H:59])[C@:9]4([N:5]4([C@@:29]([C:30]5=[C:31]([H:81])[C:32]([H:82])=[C:33]([H:83])[C:34]([H:84])=[C:35]5[P:1]([C:36]5=[C:37]([H:85])[C:38]([H:86])=[C:39]([H:87])[C:40]([H:88])=[C:41]5[H:89])([C:42]5=[C:47]([H:94])[C:46]([H:93])=[C:45]([H:92])[C:44]([H:91])=[C:43]5[H:90])-&gt;[Ru+2:50]&lt;-1&lt;-3&lt;-4(&lt;-[Cl-:48])&lt;-[Cl-:49])([H:79])[H:80])[H:78])[H:60])[H:61])([H:62])[H:63])[C:12]([H:64])=[C:13]([H:65])[C:14]([H:66])=[C:15]2[H:67])([C:17]1=[C:18]([H:68])[C:19]([H:69])=[C:20]([H:70])[C:21]([H:71])=[C:22]1[H:72])[C:23]1=[C:28]([H:77])[C:27]([H:76])=[C:26]([H:75])[C:25]([H:74])=[C:24]1[H:73]</t>
  </si>
  <si>
    <t>IAW00000169</t>
  </si>
  <si>
    <t>IAW00000170</t>
  </si>
  <si>
    <t>IAW00000171</t>
  </si>
  <si>
    <t>IAW00000172</t>
  </si>
  <si>
    <t>CAT-20</t>
  </si>
  <si>
    <t>[Ru+2]12(&lt;-[Cl-:1])(&lt;-[Cl-:2])(&lt;-[P:3]([C:29]3=[C:38]([C:28]4=[C:21]([P:4]-&gt;1([C:52]1=[C:57]([H:98])[C:56]([H:109])=[C:55]([C@:58]([H:99])([H:100])[H:110])[C:54]([H:97])=[C:53]1[H:96])[C:59]1=[C:62]([H:103])[C:61]([H:102])=[C:112]([C@:118]([H:119])([H:120])[H:121])[C:111]([H:117])=[C:60]1[H:101])[C:22]([H:76])=[C:23]([H:77])[C:24]1=[C:27]4[C:26]([H:79])=[C:105]([H:114])[C:104]([H:113])=[C:25]1[H:78])[C:37]1=[C:32]([C:31]([H:81])=[C:30]3[H:80])[C:33]([H:82])=[C:34]([H:106])[C:35]([H:107])=[C:36]1[H:83])([C:39]1=[C:40]([H:84])[C:41]([H:85])=[C:42]([C@:45]([H:88])([H:89])[H:90])[C:43]([H:86])=[C:44]1[H:87])[C:46]1=[C:47]([H:91])[C:48]([H:92])=[C:49]([C@:108]([H:95])([H:115])[H:116])[C:50]([H:93])=[C:51]1[H:94])&lt;-[N:5]([C@:7]([C@@:8]([N:6]-&gt;2([H:63])[H:123])([C:15]1=[C:20]([H:75])[C:19]([H:74])=[C:18]([H:73])[C:17]([H:72])=[C:16]1[H:71])[H:65])([C:9]1=[C:10]([H:66])[C:11]([H:67])=[C:12]([H:68])[C:13]([H:69])=[C:14]1[H:70])[H:64])([H:122])[H:124]</t>
  </si>
  <si>
    <t>IAW00000173</t>
  </si>
  <si>
    <t>IAW00000174</t>
  </si>
  <si>
    <t>IAW00000175</t>
  </si>
  <si>
    <t>IAW00000176</t>
  </si>
  <si>
    <t>CAT-21</t>
  </si>
  <si>
    <t>[Ru+2]12(&lt;-[Cl-:1])(&lt;-[Cl-:2])(&lt;-[P:3]([C:27]3=[C:33]([C:26]4=[C:25]5[C:24](=[C:23]([H:75])[C:22]([H:74])=[C:21]4[P:4]-&gt;1([C:47]1=[C:48]([H:90])[C:49]([H:91])=[C:50]([C@:53]([H:93])([H:94])[H:101])[C:51]([H:100])=[C:52]1[H:92])[C:54]1=[C:57]([H:97])[C:56]([H:96])=[C:103]([C@:107]([H:108])([H:109])[H:110])[C:102]([H:106])=[C:55]1[H:95])[O:114][C@:98]([H:117])([H:118])[O:113]5)[C:32]1=[C:30]([C:29]([H:77])=[C:28]3[H:76])[O:111][C@:31]([H:115])([H:116])[O:112]1)([C:34]1=[C:35]([H:78])[C:36]([H:79])=[C:37]([C@:40]([H:82])([H:83])[H:84])[C:38]([H:80])=[C:39]1[H:81])[C:41]1=[C:42]([H:85])[C:43]([H:86])=[C:44]([C@:99]([H:89])([H:104])[H:105])[C:45]([H:87])=[C:46]1[H:88])&lt;-[N:5]([C@@:7]([C@:8]([N:6]-&gt;2([H:60])[H:61])([C:15]1=[C:20]([H:73])[C:19]([H:72])=[C:18]([H:71])[C:17]([H:70])=[C:16]1[H:69])[H:63])([C:9]1=[C:14]([H:68])[C:13]([H:67])=[C:12]([H:66])[C:11]([H:65])=[C:10]1[H:64])[H:62])([H:58])[H:59]</t>
  </si>
  <si>
    <t>IAW00000177</t>
  </si>
  <si>
    <t>IAW00000178</t>
  </si>
  <si>
    <t>IAW00000179</t>
  </si>
  <si>
    <t>IAW00000180</t>
  </si>
  <si>
    <t>CAT-22</t>
  </si>
  <si>
    <t>[H]c1c([H])c2[P](c3c([H])c(C([H])([H])[H])c([H])c(C([H])([H])[H])c3[H])(c3c([H])c(C([H])([H])[H])c([H])c(C([H])([H])[H])c3[H])-&gt;[Ru+2]34(&lt;-[O]=C([O-]-&gt;3)C([H])([H])[H])(&lt;-[O]=C([O-]-&gt;4)C([H])([H])[H])&lt;-[P](c3c([H])c(C([H])([H])[H])c([H])c(C([H])([H])[H])c3[H])(c3c([H])c(C([H])([H])[H])c([H])c(C([H])([H])[H])c3[H])c3c([H])c([H])c4c(c3-c2c2c1OC([H])([H])O2)OC([H])([H])O4</t>
  </si>
  <si>
    <t>IAW00000181</t>
  </si>
  <si>
    <t>IAW00000182</t>
  </si>
  <si>
    <t>IAW00000183</t>
  </si>
  <si>
    <t>IAW00000184</t>
  </si>
  <si>
    <t>IAW00000185</t>
  </si>
  <si>
    <t>IAW00000186</t>
  </si>
  <si>
    <t>IAW00000187</t>
  </si>
  <si>
    <t>IAW00000188</t>
  </si>
  <si>
    <t>CAT-23</t>
  </si>
  <si>
    <t>SOL-2</t>
  </si>
  <si>
    <t>[C]12([H:1])-&gt;[Ir+:130]345(&lt;-[C:7]=1([H:11])[C@@:10]([H:15])([H:16])[C@@:17]([H:22])([H:23])[C:12]-&gt;3([H:18])=[C:8]-&gt;4([H:13])[C@:5]([H:6])([H:9])[C@:2]2([H:3])[H:4])&lt;-[N:21]1=[C:27]([C:28]2=[C:29]([H:32])[C:31]([H:36])=[C:35]([H:41])[C:33]3=[C:30]2[C@@:34]2([C@@:38]([H:44])([H:45])[C@@:46]([H:51])([H:52])[C:48]4=[C:39]2[C:47]([P:53]-&gt;5([C:56]2=[C:62]([H:68])[C:69]([C@@:76]([C@@:84]([H:103])([H:104])[H:105])([C@@:85]([H:106])([H:107])[H:108])[C@:86]([H:109])([H:110])[H:111])=[C:75]([H:83])[C:67]([C@@:74]([C@@:80]([H:94])([H:95])[H:96])([C@:81]([H:97])([H:98])[H:99])[C@:82]([H:100])([H:101])[H:102])=[C:61]2[H:66])[C:57]2=[C:63]([H:70])[C:71]([C@:77]([C@@:87]([H:112])([H:113])[H:114])([C@@:88]([H:115])([H:116])[H:117])[C@:89]([H:118])([H:119])[H:120])=[C:78]([H:90])[C:72]([C@:79]([C@:91]([H:121])([H:122])[H:123])([C@@:92]([H:124])([H:125])[H:126])[C@@:93]([H:127])([H:128])[H:129])=[C:64]2[H:73])=[C:54]([H:59])[C:58]([H:65])=[C:55]4[H:60])[C@:40]([H:49])([H:50])[C@@:37]3([H:42])[H:43])[O:25][C@@:19]([H:24])([H:26])[C@:14]1([H:20])[H:131]</t>
  </si>
  <si>
    <t>[H]C([H])([H])C([H])([H])N(C([H])([H])C([H])([H])[H])C([H])([H])C([H])([H])[H].[H]OC([H])([H])[H]</t>
  </si>
  <si>
    <t>IAW00000189</t>
  </si>
  <si>
    <t>IAW00000190</t>
  </si>
  <si>
    <t>IAW00000191</t>
  </si>
  <si>
    <t>IAW00000192</t>
  </si>
  <si>
    <t>CAT-24</t>
  </si>
  <si>
    <t>C1([H:1])=[C:11]([H:17])[C:16]([C@@:24]2([H:31])[C@:30]([H:35])([H:37])[O:36][C:38]3[C:39]4=[C:41]5[C:44](=[C:46]([H:52])[C:42]([H:47])=[C:40]4[H:43])[C@:48]([H:53])([H:54])[C@@:51]([H:60])([H:61])[C@:45]54[C@@:49]([H:55])([H:56])[C@@:57]([H:62])([H:63])[C:59]5=[C:50]4[C:58]([P:64]([C:67]4=[C:73]([H:79])[C:80]([C@@:87]([C@@:95]([H:114])([H:115])[H:116])([C@@:96]([H:117])([H:118])[H:119])[C@:97]([H:120])([H:121])[H:122])=[C:86]([H:94])[C:78]([C@@:85]([C@@:91]([H:105])([H:106])[H:107])([C@:92]([H:108])([H:109])[H:110])[C@:93]([H:111])([H:112])[H:113])=[C:72]4[H:77])([C:68]4=[C:75]([H:84])[C:83]([C@:90]([C@:102]([H:132])([H:133])[H:134])([C@@:103]([H:135])([H:136])[H:137])[C@@:104]([H:138])([H:139])[H:140])=[C:89]([H:101])[C:82]([C@:88]([C@@:98]([H:123])([H:124])[H:125])([C@@:99]([H:126])([H:127])[H:128])[C@:100]([H:129])([H:130])[H:131])=[C:74]4[H:81])-&gt;[Ir+:141]467(&lt;-[C:4]8([H:5])=[C:13]-&gt;4([H:21])[C@@:20]([H:26])([H:27])[C@@:28]([H:33])([H:34])[C:22]-&gt;6([H:29])=[C:14]-&gt;7([H:23])[C@:9]([H:10])([H:15])[C@:6]8([H:7])[H:8])&lt;-[N:32]=32)=[C:65]([H:70])[C:69]([H:76])=[C:66]5[H:71])=[C:19]([H:25])[C:12]([H:18])=[C:2]1[H:3]</t>
  </si>
  <si>
    <t>IAW00000193</t>
  </si>
  <si>
    <t>IAW00000194</t>
  </si>
  <si>
    <t>IAW00000195</t>
  </si>
  <si>
    <t>IAW00000196</t>
  </si>
  <si>
    <t>CAT-25</t>
  </si>
  <si>
    <t>C12[P:96]([C:33]3=[C:40]([H:41])[C:39]([C@:55]([C@:56]([H:57])([H:58])[H:59])([C@:60]([H:61])([H:62])[H:105])[C@@:104]([H:120])([H:121])[H:122])=[C:37]([H:38])[C:36]([C@:42]([C@:43]([H:44])([H:45])[H:46])([C@:47]([H:48])([H:49])[H:50])[C@:51]([H:52])([H:53])[H:54])=[C:34]3[H:35])([C:63]3=[C:69]([H:109])[C:68]([C@:108]([C@:125]([H:136])([H:137])[H:138])([C@@:126]([H:139])([H:140])[H:141])[C@:127]([H:142])([H:143])[H:144])=[C:67]([H:107])[C:66]([C@:106]([C@:70]([H:71])([H:110])[H:111])([C@@:123]([H:131])([H:132])[H:133])[C@:124]([H:72])([H:134])[H:135])=[C:64]3[H:65])-&gt;[Ir+:93]345(&lt;-[C:73]6([H:74])=[C:75]-&gt;3([H:76])[C@:77]([H:78])([H:79])[C@@:80]([H:81])([H:82])[C:83]-&gt;4([H:84])=[C:85]-&gt;5([H:86])[C@:87]([H:88])([H:89])[C@@:90]6([H:91])[H:92])&lt;-[N:94]3=[C:13]([C:11]4=[C:9]([H:10])[C:102]([H:118])=[C:119]([H:130])[C:103]5=[C:12]4[C@:5]4([C:4]1=[C:3]([C@:6]([H:7])([H:101])[C@:99]4([H:114])[H:115])[C:98]([H:113])=[C:97]([H:112])[C:1]=2[H:2])[C@@:100]([H:8])([H:117])[C@@:116]5([H:128])[H:129])[O:95][C@:14]([H:15])([H:16])[C@:17]3([H:18])[C@@:19]([H:20])([H:21])[C:22]1=[C:23]([H:24])[C:25]([H:26])=[C:27]([H:28])[C:29]([H:30])=[C:31]1[H:32]</t>
  </si>
  <si>
    <t>IAW00000197</t>
  </si>
  <si>
    <t>IAW00000198</t>
  </si>
  <si>
    <t>IAW00000199</t>
  </si>
  <si>
    <t>IAW00000200</t>
  </si>
  <si>
    <t>CAT-26</t>
  </si>
  <si>
    <t>[P]1([C:13]2=[C:14]([H:57])[C:15]([H:58])=[C:16]([H:59])[C:11]3=[C:12]2[C@@:7]2([C@@:9]([H:67])([H:68])[C@@:10]3([H:72])[H:73])[C@@:17]([H:74])([H:75])[C@@:18]([H:76])([H:77])[C:19]3=[C:24]([H:62])[C:23]([H:61])=[C:22]([H:60])[C:21]([N:8]([C@:6]([C:5]4=[C:120]([C@@:121]([H:122])([H:123])[H:124])[C:1]([H:82])=[C:2]([H:81])[C:3]([H:80])=[C:4]4[H:119])([H:78])[H:79])(-&gt;[Ir+4:54]&lt;-1(&lt;-[Cl-:53])(&lt;-[H-:55])(&lt;-[H-:56])&lt;-[H-:125])[H:64])=[C:20]23)([C:25]1=[C:30]([H:66])[C:29]([C@:35]([C@:36]([H:92])([H:93])[H:94])([C@:37]([H:95])([H:96])[H:97])[C@:38]([H:98])([H:99])[H:100])=[C:28]([H:65])[C:27]([C@:31]([C@:32]([H:83])([H:84])[H:85])([C@:33]([H:86])([H:87])[H:88])[C@:34]([H:89])([H:90])[H:91])=[C:26]1[H:63])[C:39]1=[C:40]([H:69])[C:41]([C@@:45]([C@:46]([H:101])([H:102])[H:103])([C@:47]([H:104])([H:105])[H:106])[C@:48]([H:107])([H:108])[H:109])=[C:42]([H:70])[C:43]([C@:49]([C@:50]([H:110])([H:111])[H:112])([C@:51]([H:113])([H:114])[H:115])[C@:52]([H:116])([H:117])[H:118])=[C:44]1[H:71]</t>
  </si>
  <si>
    <t>IAW00000201</t>
  </si>
  <si>
    <t>IAW00000202</t>
  </si>
  <si>
    <t>IAW00000203</t>
  </si>
  <si>
    <t>IAW00000204</t>
  </si>
  <si>
    <t>CAT-27</t>
  </si>
  <si>
    <t>[C@@]1([C@@:1]2([H:41])[C@:3]([C@@:7]([H:43])([H:44])[H:45])([H:42])[O:87][C:4]([C:6]3=[C:8]([H:46])[C:9]([H:47])=[C:10]([H:48])[C:11]([H:49])=[C:12]3[H:50])=[N:5]2-&gt;[Ir+5:26]234(&lt;-[P:13]([O:2]1)([C@:14]1([H:51])[C@@:16]([H:53])([H:54])[C@@:17]([H:55])([H:56])[C@@:18]([H:57])([H:58])[C@@:19]([H:59])([H:60])[C@@:20]1([H:61])[H:62])[C@:15]1([H:52])[C@@:21]([H:63])([H:64])[C@@:22]([H:65])([H:66])[C@@:23]([H:67])([H:68])[C@@:24]([H:69])([H:70])[C@@:25]1([H:71])[H:72])&lt;-[C-:88]1([H:89])[C-:90]-&gt;2([H:91])[C@@:92]([H:93])([H:94])[C@@:95]([H:96])([H:97])[C-:104]-&gt;3([H:106])[C-:105]-&gt;4([H:107])[C@:101]([H:102])([H:103])[C@@:98]1([H:99])[H:100])([C@:32]([C:35]1=[C:31]([H:77])[C:30]([H:76])=[C:29]([H:75])[C:28]([H:74])=[C:27]1[H:73])([H:78])[H:79])[C@:39]([C:40]1=[C:38]([H:84])[C:37]([H:83])=[C:36]([H:82])[C:34]([H:81])=[C:33]1[H:80])([H:85])[H:86]</t>
  </si>
  <si>
    <t>IAW00000205</t>
  </si>
  <si>
    <t>IAW00000206</t>
  </si>
  <si>
    <t>IAW00000207</t>
  </si>
  <si>
    <t>IAW00000208</t>
  </si>
  <si>
    <t>CAT-28</t>
  </si>
  <si>
    <t>[P]12([C@@:10]([C@:11]([P:1]3(-&gt;[Rh+:24]&lt;-1456&lt;-[C:2]1([H:25])=[C:3]-&gt;4([H:26])[C@:4]([H:27])([H:28])[C@@:5]([H:29])([H:30])[C:6]-&gt;5([H:31])=[C:7]-&gt;6([H:32])[C@:8]([H:33])([H:34])[C@@:9]1([H:35])[H:36])[C@@:18]([C@:22]([H:59])([H:60])[H:61])([H:53])[C@@:19]([H:54])([H:55])[C@@:20]([H:56])([H:57])[C@:21]3([C@:23]([H:62])([H:63])[H:64])[H:58])([H:39])[H:40])([H:37])[H:38])[C@@:12]([C@:16]([H:47])([H:48])[H:49])([H:41])[C@@:13]([H:42])([H:43])[C@:14]([H:44])([H:45])[C@:15]2([C@:17]([H:50])([H:51])[H:52])[H:46]</t>
  </si>
  <si>
    <t>IAW00000209</t>
  </si>
  <si>
    <t>IAW00000210</t>
  </si>
  <si>
    <t>IAW00000211</t>
  </si>
  <si>
    <t>IAW00000212</t>
  </si>
  <si>
    <t>IAW00000213</t>
  </si>
  <si>
    <t>IAW00000214</t>
  </si>
  <si>
    <t>IAW00000215</t>
  </si>
  <si>
    <t>IAW00000216</t>
  </si>
  <si>
    <t>CAT-29</t>
  </si>
  <si>
    <t>[P]12([C@@:22]([H:23])([H:24])[C@:25]([P:1]3(-&gt;[Rh+:76]&lt;-1456&lt;-[C:2]1([H:3])=[C:4]-&gt;4([H:5])[C@:6]([H:7])([H:8])[C@@:9]([H:10])([H:11])[C:12]-&gt;5([H:13])=[C:14]-&gt;6([H:15])[C@:16]([H:17])([H:18])[C@@:19]1([H:20])[H:21])[C@@:48]([H:49])([C@@:65]([H:66])([H:67])[C@:68]([H:69])([H:70])[H:72])[C@@:50]([H:51])([H:52])[C@:53]([H:54])([H:55])[C@:56]3([H:57])[C@:58]([H:59])([H:60])[C@:61]([H:62])([H:63])[H:64])([H:26])[H:27])[C@@:28]([H:29])([C@:38]([H:39])([H:40])[C@:41]([H:42])([H:43])[H:44])[C@@:30]([H:31])([H:32])[C@:33]([H:34])([H:35])[C@:36]2([H:37])[C@@:45]([H:46])([H:47])[C@:71]([H:73])([H:74])[H:75]</t>
  </si>
  <si>
    <t>IAW00000217</t>
  </si>
  <si>
    <t>IAW00000218</t>
  </si>
  <si>
    <t>IAW00000219</t>
  </si>
  <si>
    <t>IAW00000220</t>
  </si>
  <si>
    <t>CAT-30</t>
  </si>
  <si>
    <t>[P]12([C@@:22]([H:23])([H:24])[C@:25]([P:1]3(-&gt;[Rh+:72]&lt;-1456&lt;-[C:2]1([H:3])=[C:4]-&gt;4([H:5])[C@:6]([H:7])([H:8])[C@@:9]([H:10])([H:11])[C:12]-&gt;5([H:13])=[C:14]-&gt;6([H:15])[C@:16]([H:17])([H:18])[C@@:19]1([H:20])[H:21])[C@:46]([H:47])([C@@:62]([H:63])([C@:64]([H:65])([H:66])[H:68])[C@@:85]([H:86])([H:87])[H:88])[C@@:48]([H:49])([H:50])[C@:51]([H:52])([H:53])[C@@:54]3([H:55])[C@@:56]([H:57])([C@:58]([H:59])([H:60])[H:61])[C@@:81]([H:82])([H:83])[H:84])([H:26])[H:27])[C@:28]([H:29])([C@@:38]([H:39])([C@:40]([H:41])([H:42])[H:43])[C@@:73]([H:74])([H:75])[H:76])[C@@:30]([H:31])([H:32])[C@:33]([H:34])([H:35])[C@@:36]2([H:37])[C@:44]([H:45])([C@:67]([H:69])([H:70])[H:71])[C@@:77]([H:78])([H:79])[H:80]</t>
  </si>
  <si>
    <t>IAW00000221</t>
  </si>
  <si>
    <t>IAW00000222</t>
  </si>
  <si>
    <t>IAW00000223</t>
  </si>
  <si>
    <t>IAW00000224</t>
  </si>
  <si>
    <t>IAW00000225</t>
  </si>
  <si>
    <t>IAW00000226</t>
  </si>
  <si>
    <t>IAW00000227</t>
  </si>
  <si>
    <t>IAW00000228</t>
  </si>
  <si>
    <t>CAT-31</t>
  </si>
  <si>
    <t>[P]12([C@@:10]([C@:11]([P:1]3(-&gt;[Rh+:20]&lt;-1456&lt;-[C:2]1([H:21])=[C:3]-&gt;4([H:22])[C@:4]([H:23])([H:24])[C@@:5]([H:25])([H:26])[C:6]-&gt;5([H:27])=[C:7]-&gt;6([H:28])[C@:8]([H:29])([H:30])[C@@:9]1([H:31])[H:32])[C@@:16]([H:43])([C:82]1=[C:83]([H:86])[C:85]([H:90])=[C:89]([H:92])[C:87]([H:91])=[C:84]1[H:88])[C@@:17]([H:44])([H:45])[C@@:18]([H:46])([H:47])[C@:19]3([H:48])[C:71]1=[C:72]([H:75])[C:74]([H:79])=[C:78]([H:81])[C:76]([H:80])=[C:73]1[H:77])([H:35])[H:36])([H:33])[H:34])[C@@:12]([H:37])([C:49]1=[C:50]([H:53])[C:52]([H:57])=[C:56]([H:59])[C:54]([H:58])=[C:51]1[H:55])[C@@:13]([H:38])([H:39])[C@:14]([H:40])([H:41])[C@:15]2([H:42])[C:60]1=[C:61]([H:64])[C:63]([H:68])=[C:67]([H:70])[C:65]([H:69])=[C:62]1[H:66]</t>
  </si>
  <si>
    <t>IAW00000229</t>
  </si>
  <si>
    <t>IAW00000230</t>
  </si>
  <si>
    <t>IAW00000231</t>
  </si>
  <si>
    <t>IAW00000232</t>
  </si>
  <si>
    <t>IAW00000233</t>
  </si>
  <si>
    <t>IAW00000234</t>
  </si>
  <si>
    <t>IAW00000235</t>
  </si>
  <si>
    <t>IAW00000236</t>
  </si>
  <si>
    <t>CAT-32</t>
  </si>
  <si>
    <t>[Rh+]1234(&lt;-[P:1]5([C:35]6=[C:41]([H:52])[C:51]([H:59])=[C:58]([H:60])[C:47]([H:57])=[C:39]6[P:34]-&gt;16[C@@:63]([C@:46]([H:54])([H:55])[H:56])([H:64])[C@:42]([H:23])([H:53])[C@:36]([H:22])([H:43])[C@:67]6([C@@:24]([H:25])([H:26])[H:37])[H:68])[C@@:61]([C@:30]([H:31])([H:32])[H:33])([H:62])[C@@:27]([H:28])([H:29])[C@:38]([H:44])([H:45])[C@:65]5([C@@:40]([H:48])([H:49])[H:50])[H:66])&lt;-[C:2]1([H:3])=[C:4]-&gt;2([H:5])[C@@:6]([H:7])([H:8])[C@:9]([H:10])([H:11])[C:12]-&gt;3([H:13])=[C:14]-&gt;4([H:15])[C@@:16]([H:17])([H:18])[C@:19]1([H:20])[H:21]</t>
  </si>
  <si>
    <t>IAW00000237</t>
  </si>
  <si>
    <t>IAW00000238</t>
  </si>
  <si>
    <t>IAW00000239</t>
  </si>
  <si>
    <t>IAW00000240</t>
  </si>
  <si>
    <t>CAT-33</t>
  </si>
  <si>
    <t>SOL-3</t>
  </si>
  <si>
    <t>[Rh+]1234(&lt;-[P:1]5([C:23]6=[C:31]([H:32])[C:29]([H:30])=[C:27]([H:28])[C:25]([H:26])=[C:24]6[P:2]-&gt;16[C@:73]([C@:66]([H:67])([H:68])[C@@:69]([H:70])([H:71])[H:72])([H:74])[C@@:56]([H:57])([H:58])[C@@:53]([H:54])([H:55])[C@@:75]6([C@:59]([H:60])([H:61])[C@@:62]([H:63])([H:64])[H:65])[H:76])[C@:77]([C@:46]([H:47])([H:48])[C@@:49]([H:50])([H:51])[H:52])([H:78])[C@@:36]([H:37])([H:38])[C@@:33]([H:34])([H:35])[C@@:79]5([C@:39]([H:40])([H:41])[C@@:42]([H:43])([H:44])[H:45])[H:80])&lt;-[C:3]1([H:4])=[C:5]-&gt;2([H:6])[C@:7]([H:8])([H:9])[C@:10]([H:11])([H:12])[C:13]-&gt;3([H:14])=[C:15]-&gt;4([H:16])[C@:17]([H:18])([H:19])[C@@:20]1([H:21])[H:22]</t>
  </si>
  <si>
    <t>F[B-](F)(F)F.[H]C([H])([H])C([H])([H])N(C([H])([H])C([H])([H])[H])C([H])([H])C([H])([H])[H].[H]OC([H])([H])[H]</t>
  </si>
  <si>
    <t>IAW00000241</t>
  </si>
  <si>
    <t>IAW00000242</t>
  </si>
  <si>
    <t>IAW00000243</t>
  </si>
  <si>
    <t>IAW00000244</t>
  </si>
  <si>
    <t>CAT-34</t>
  </si>
  <si>
    <t>[Rh+]1234(&lt;-[P:1]5([C:33]6=[C:30]([P:2]-&gt;17[C@@:45]([H:46])([C@:55]([H:56])([C@:57]([H:58])([H:59])[H:60])[C@:61]([H:62])([H:63])[H:64])[C@:47]([H:48])([H:49])[C@@:50]([H:51])([H:52])[C@:53]7([H:54])[C@@:65]([H:66])([C@:67]([H:68])([H:69])[H:70])[C@:71]([H:72])([H:73])[H:74])[C:28]([H:29])=[C:26]([H:27])[C:24]([H:25])=[C:23]6[H:76])[C@@:31]([H:32])([C@@:36]([H:37])([C@:38]([H:39])([H:40])[H:78])[C@:41]([H:42])([H:43])[H:44])[C@@:77]([H:82])([H:83])[C@:79]([H:84])([H:85])[C@@:75]5([C@@:80]([H:34])([C@:86]([H:88])([H:89])[H:90])[C@:87]([H:35])([H:91])[H:92])[H:81])&lt;-[C:3]1([H:4])=[C:5]-&gt;2([H:6])[C@:7]([H:8])([H:9])[C@@:10]([H:11])([H:12])[C:13]-&gt;3([H:14])=[C:15]-&gt;4([H:16])[C@:17]([H:18])([H:19])[C@@:20]1([H:21])[H:22]</t>
  </si>
  <si>
    <t>IAW00000245</t>
  </si>
  <si>
    <t>IAW00000246</t>
  </si>
  <si>
    <t>IAW00000247</t>
  </si>
  <si>
    <t>IAW00000248</t>
  </si>
  <si>
    <t>CAT-35</t>
  </si>
  <si>
    <t>[Fe+2]123456789&lt;-[C:3]%10([P:1]%11(-&gt;[Rh+:61]%12%13%14(&lt;-[P:2]%15([C:12]-&gt;1%16=[C:17]-&gt;2([H:18])[C:15]-&gt;3([H:16])=[C:14]-&gt;4([H:53])[C-:13]-&gt;5%16[H:52])[C@:29]([H:30])([C@@:62]([H:63])([H:64])[H:65])[C@:54]([H:57])([H:58])[C@:56]([H:59])([H:60])[C@@:51]%15([H:55])[C@@:66]([H:67])([H:68])[H:69])&lt;-[C:31]1([H:32])=[C:33]-&gt;%12([H:34])[C@:35]([H:36])([H:37])[C@@:38]([H:39])([H:40])[C:41]-&gt;%13([H:42])=[C:43]-&gt;%14([H:44])[C@:45]([H:46])([H:47])[C@@:48]1([H:49])[H:50])[C@:19]([H:20])([C@@:70]([H:71])([H:72])[H:73])[C@@:21]([H:22])([H:23])[C@:24]([H:25])([H:26])[C@@:27]%11([H:28])[C@@:74]([H:75])([H:76])[H:77])=[C:4]-&gt;6([H:5])[C:6]-&gt;7([H:7])=[C:8]-&gt;8([H:9])[C-:10]-&gt;9%10[H:11]</t>
  </si>
  <si>
    <t>IAW00000249</t>
  </si>
  <si>
    <t>IAW00000250</t>
  </si>
  <si>
    <t>IAW00000251</t>
  </si>
  <si>
    <t>IAW00000252</t>
  </si>
  <si>
    <t>SOL-4</t>
  </si>
  <si>
    <t>[H]C([H])([H])C([H])([H])N(C([H])([H])C([H])([H])[H])C([H])([H])C([H])([H])[H].[H]OC([H])([H])[H].[H]O[H]</t>
  </si>
  <si>
    <t>IAW00000253</t>
  </si>
  <si>
    <t>IAW00000254</t>
  </si>
  <si>
    <t>IAW00000255</t>
  </si>
  <si>
    <t>IAW00000256</t>
  </si>
  <si>
    <t>SOL-5</t>
  </si>
  <si>
    <t>[H]C([H])([H])C([H])([H])N(C([H])([H])C([H])([H])[H])C([H])([H])C([H])([H])[H].[H]C1([H])OC([H])([H])C([H])([H])C1([H])[H]</t>
  </si>
  <si>
    <t>IAW00000257</t>
  </si>
  <si>
    <t>IAW00000258</t>
  </si>
  <si>
    <t>IAW00000259</t>
  </si>
  <si>
    <t>IAW00000260</t>
  </si>
  <si>
    <t>IAW00000261</t>
  </si>
  <si>
    <t>IAW00000262</t>
  </si>
  <si>
    <t>IAW00000263</t>
  </si>
  <si>
    <t>IAW00000264</t>
  </si>
  <si>
    <t>IAW00000265</t>
  </si>
  <si>
    <t>IAW00000266</t>
  </si>
  <si>
    <t>IAW00000267</t>
  </si>
  <si>
    <t>IAW00000268</t>
  </si>
  <si>
    <t>SOL-6</t>
  </si>
  <si>
    <t>[H]C([H])([H])C([H])([H])N(C([H])([H])C([H])([H])[H])C([H])([H])C([H])([H])[H].[H]OC([H])(C([H])([H])[H])C([H])([H])[H]</t>
  </si>
  <si>
    <t>IAW00000269</t>
  </si>
  <si>
    <t>IAW00000270</t>
  </si>
  <si>
    <t>IAW00000271</t>
  </si>
  <si>
    <t>IAW00000272</t>
  </si>
  <si>
    <t>CAT-36</t>
  </si>
  <si>
    <t>[Fe+2]123456789&lt;-[C:3]%10([P:1]%11(-&gt;[Rh+:61]%12%13%14(&lt;-[P:2]%15([C-:12]-&gt;1%16[C:13]-&gt;2([H:52])=[C:14]-&gt;3([H:53])[C:15]-&gt;4([H:16])=[C:17]-&gt;5%16[H:18])[C@@:29]([H:30])([C@:66]([H:67])([H:68])[C@@:69]([H:70])([H:71])[H:72])[C@:54]([H:57])([H:58])[C@:56]([H:59])([H:60])[C@:51]%15([H:55])[C@:73]([C@@:62]([H:63])([H:64])[H:65])([H:74])[H:75])&lt;-[C:31]1([H:32])=[C:33]-&gt;%12([H:34])[C@:35]([H:36])([H:37])[C@@:38]([H:39])([H:40])[C:41]-&gt;%13([H:42])=[C:43]-&gt;%14([H:44])[C@:45]([H:46])([H:47])[C@@:48]1([H:49])[H:50])[C@@:19]([H:20])([C@:83]([H:84])([H:85])[C@@:86]([H:87])([H:88])[H:89])[C@@:21]([H:22])([H:23])[C@:24]([H:25])([H:26])[C@:27]%11([H:28])[C@:76]([H:77])([H:78])[C@@:79]([H:80])([H:81])[H:82])=[C:10]-&gt;6([H:11])[C-:8]-&gt;7([H:9])[C:6]-&gt;8([H:7])=[C:4]-&gt;9%10[H:5]</t>
  </si>
  <si>
    <t>IAW00000273</t>
  </si>
  <si>
    <t>IAW00000274</t>
  </si>
  <si>
    <t>IAW00000275</t>
  </si>
  <si>
    <t>IAW00000276</t>
  </si>
  <si>
    <t>IAW00000277</t>
  </si>
  <si>
    <t>IAW00000278</t>
  </si>
  <si>
    <t>IAW00000279</t>
  </si>
  <si>
    <t>IAW00000280</t>
  </si>
  <si>
    <t>IAW00000281</t>
  </si>
  <si>
    <t>IAW00000282</t>
  </si>
  <si>
    <t>IAW00000283</t>
  </si>
  <si>
    <t>IAW00000284</t>
  </si>
  <si>
    <t>IAW00000285</t>
  </si>
  <si>
    <t>IAW00000286</t>
  </si>
  <si>
    <t>IAW00000287</t>
  </si>
  <si>
    <t>IAW00000288</t>
  </si>
  <si>
    <t>IAW00000289</t>
  </si>
  <si>
    <t>IAW00000290</t>
  </si>
  <si>
    <t>IAW00000291</t>
  </si>
  <si>
    <t>IAW00000292</t>
  </si>
  <si>
    <t>IAW00000293</t>
  </si>
  <si>
    <t>IAW00000294</t>
  </si>
  <si>
    <t>IAW00000295</t>
  </si>
  <si>
    <t>IAW00000296</t>
  </si>
  <si>
    <t>CAT-37</t>
  </si>
  <si>
    <t>[Fe+2]123456789&lt;-[C:3]%10([P:1]%11(-&gt;[Rh+:61]%12%13%14(&lt;-[P:2]%15([C:12]-&gt;1%16=[C:17]-&gt;2([H:18])[C:15]-&gt;3([H:16])=[C:14]-&gt;4([H:53])[C-:13]-&gt;5%16[H:52])[C@@:29]([H:30])([C@@:72]([H:73])([C@@:74]([H:75])([H:76])[H:77])[C@@:78]([H:79])([H:80])[H:81])[C@:54]([H:57])([H:58])[C@:56]([H:59])([H:60])[C@:51]%15([H:55])[C@@:62]([H:63])([C@@:64]([H:65])([H:66])[H:67])[C@@:68]([H:69])([H:70])[H:71])&lt;-[C:31]1([H:32])=[C:33]-&gt;%12([H:34])[C@:35]([H:36])([H:37])[C@@:38]([H:39])([H:40])[C:41]-&gt;%13([H:42])=[C:43]-&gt;%14([H:44])[C@:45]([H:46])([H:47])[C@@:48]1([H:49])[H:50])[C@@:19]([H:20])([C@:91]([H:92])([C@@:93]([H:94])([H:95])[H:96])[C@@:97]([H:98])([H:99])[H:100])[C@@:21]([H:22])([H:23])[C@:24]([H:25])([H:26])[C@:27]%11([H:28])[C@:82]([C@@:83]([H:84])([H:85])[H:86])([C@@:87]([H:88])([H:89])[H:90])[H:101])=[C:4]-&gt;6([H:5])[C:6]-&gt;7([H:7])=[C:8]-&gt;8([H:9])[C-:10]-&gt;9%10[H:11]</t>
  </si>
  <si>
    <t>IAW00000297</t>
  </si>
  <si>
    <t>IAW00000298</t>
  </si>
  <si>
    <t>IAW00000299</t>
  </si>
  <si>
    <t>IAW00000300</t>
  </si>
  <si>
    <t>IAW00000301</t>
  </si>
  <si>
    <t>IAW00000302</t>
  </si>
  <si>
    <t>IAW00000303</t>
  </si>
  <si>
    <t>IAW00000304</t>
  </si>
  <si>
    <t>IAW00000305</t>
  </si>
  <si>
    <t>IAW00000306</t>
  </si>
  <si>
    <t>IAW00000307</t>
  </si>
  <si>
    <t>IAW00000308</t>
  </si>
  <si>
    <t>IAW00000309</t>
  </si>
  <si>
    <t>IAW00000310</t>
  </si>
  <si>
    <t>IAW00000311</t>
  </si>
  <si>
    <t>IAW00000312</t>
  </si>
  <si>
    <t>IAW00000313</t>
  </si>
  <si>
    <t>IAW00000314</t>
  </si>
  <si>
    <t>IAW00000315</t>
  </si>
  <si>
    <t>IAW00000316</t>
  </si>
  <si>
    <t>IAW00000317</t>
  </si>
  <si>
    <t>IAW00000318</t>
  </si>
  <si>
    <t>IAW00000319</t>
  </si>
  <si>
    <t>IAW00000320</t>
  </si>
  <si>
    <t>CAT-38</t>
  </si>
  <si>
    <t>[H]C1=[C]2([H])-&gt;[Fe+2]3456789&lt;-[C]%10([H])=[C]-&gt;3([H])[C-]-&gt;4([C@]([H])(c3c([H])c([H])c([H])c([H])c3[H])N(C([H])([H])[H])C([H])([H])[H])[C]-&gt;5([P](c3c([H])c([H])c([H])c([H])c3[H])(c3c([H])c([H])c([H])c([H])c3[H])-&gt;[Rh+]345(&lt;-[C]%11([H])=[C]-&gt;3([H])C([H])([H])C([H])([H])[C]-&gt;4([H])=[C]-&gt;5([H])C([H])([H])C%11([H])[H])&lt;-[P](c3c([H])c([H])c([H])c([H])c3[H])(c3c([H])c([H])c([H])c([H])c3[H])[C]-&gt;61=[C]-&gt;7([C@]([H])(c1c([H])c([H])c([H])c([H])c1[H])N(C([H])([H])[H])C([H])([H])[H])[C-]-&gt;82[H])=[C]-&gt;9%10[H]</t>
  </si>
  <si>
    <t>IAW00000321</t>
  </si>
  <si>
    <t>IAW00000322</t>
  </si>
  <si>
    <t>IAW00000323</t>
  </si>
  <si>
    <t>IAW00000324</t>
  </si>
  <si>
    <t>CAT-39</t>
  </si>
  <si>
    <t>[H]c1c([H])c([H])c([P]2(c3c([H])c([H])c([H])c([H])c3[H])[C-]34-&gt;[Fe+2]56789%10%11(&lt;-[C]%12([H])=[C]-&gt;5([H])[C-]-&gt;6([H])[C]-&gt;7([H])=[C]-&gt;8%12[H])&lt;-[C]([H])(=[C]-&gt;93[H])[C]-&gt;%10([H])=[C]-&gt;%114[C@@]([H])(C([H])([H])[H])[N](C([H])([H])[H])(C([H])([H])[H])-&gt;[Rh+]&lt;-2345&lt;-[C]2([H])=[C]-&gt;3([H])C([H])([H])C([H])([H])[C]-&gt;4([H])=[C]-&gt;5([H])C([H])([H])C2([H])[H])c([H])c1[H]</t>
  </si>
  <si>
    <t>IAW00000325</t>
  </si>
  <si>
    <t>IAW00000326</t>
  </si>
  <si>
    <t>IAW00000327</t>
  </si>
  <si>
    <t>IAW00000328</t>
  </si>
  <si>
    <t>CAT-40</t>
  </si>
  <si>
    <t>[Rh+]1234(&lt;-[P:1]([C@@:25]([H:26])([H:27])[C@:28]([P:2]-&gt;1([C:56]1=[C:64]([H:65])[C:62]([H:63])=[C:60]([H:61])[C:58]([H:59])=[C:57]1[O:4][C@:66]([H:67])([H:68])[H:69])[C:70]1=[C:79]([H:80])[C:77]([H:78])=[C:75]([H:76])[C:73]([H:74])=[C:71]1[H:72])([H:29])[H:30])([C:31]1=[C:39]([H:40])[C:37]([H:38])=[C:35]([H:36])[C:33]([H:34])=[C:32]1[O:3][C@:41]([H:42])([H:43])[H:44])[C:45]1=[C:54]([H:55])[C:52]([H:53])=[C:50]([H:51])[C:48]([H:49])=[C:46]1[H:47])&lt;-[C:5]1([H:6])=[C:7]-&gt;2([H:8])[C@@:9]([H:10])([H:11])[C@:12]([H:13])([H:14])[C:15]-&gt;3([H:16])=[C:17]-&gt;4([H:18])[C@@:19]([H:20])([H:21])[C@:22]1([H:23])[H:24]</t>
  </si>
  <si>
    <t>IAW00000329</t>
  </si>
  <si>
    <t>IAW00000330</t>
  </si>
  <si>
    <t>IAW00000331</t>
  </si>
  <si>
    <t>IAW00000332</t>
  </si>
  <si>
    <t>CAT-41</t>
  </si>
  <si>
    <t>[Rh+]1234(&lt;-[P:1]([C:21]5=[C:24]([C:25]6=[C:40]([P:2]-&gt;1([C:57]1=[C:78]([H:88])[C:89]([H:96])=[C:90]([H:97])[C:79]([H:91])=[C:58]1[H:59])[C:60]1=[C:61]([H:62])[C:63]([H:64])=[C:65]([H:66])[C:67]([H:68])=[C:69]1[H:70])[C:38]([H:39])=[C:36]([H:37])[C:35]1=[C:26]6[C:27]([H:28])=[C:29]([H:30])[C:31]([H:32])=[C:33]1[H:34])[C:74]1=[C:82]([C:81]([H:92])=[C:73]5[H:80])[C:93]([H:98])=[C:84]([H:94])[C:75]([H:83])=[C:22]1[H:23])([C:41]1=[C:42]([H:43])[C:44]([H:45])=[C:46]([H:47])[C:48]([H:49])=[C:50]1[H:51])[C:52]1=[C:53]([H:54])[C:55]([H:56])=[C:77]([H:87])[C:86]([H:95])=[C:76]1[H:85])&lt;-[C:3]1([H:4])=[C:5]-&gt;2([H:6])[C@@:7]([H:8])([H:71])[C@@:9]([H:10])([H:72])[C:11]-&gt;3([H:12])=[C:13]-&gt;4([H:14])[C@:15]([H:16])([H:17])[C@@:18]1([H:19])[H:20]</t>
  </si>
  <si>
    <t>IAW00000333</t>
  </si>
  <si>
    <t>IAW00000334</t>
  </si>
  <si>
    <t>IAW00000335</t>
  </si>
  <si>
    <t>IAW00000336</t>
  </si>
  <si>
    <t>CAT-42</t>
  </si>
  <si>
    <t>[Rh+2]123&lt;-[O:44]=[C:52]([O-:45]-&gt;[Rh+2:1](&lt;-[O:47]=[C:68]([O-:46]-&gt;1)[C@:69]([N:13]1[C:16](=[O:14])[C:17]4=[C:26]([C:24]([H:25])=[C:22]([H:23])[C:20]([H:21])=[C:18]4[H:19])[C:27]1=[O:15])([H:70])[C@@:71]([C@:72]([H:73])([H:74])[H:75])([C@:76]([H:77])([H:78])[H:79])[C@:80]([H:81])([H:82])[H:83])(&lt;-[O-:49][C:84](=[O:48]-&gt;2)[C@:85]([N:28]1[C:31](=[O:29])[C:32]2=[C:40]([C:39]([H:118])=[C:37]([H:38])[C:35]([H:36])=[C:33]2[H:34])[C:41]1=[O:30])([H:86])[C@:87]([C@:88]([H:89])([H:90])[H:91])([C@:92]([H:93])([H:94])[H:95])[C@:96]([H:97])([H:98])[H:99])&lt;-[O-:51][C:100](=[O:50]-&gt;3)[C@:101]([N:42]1[C:119](=[O:123])[C:124]2=[C:125]([C:120]1=[O:43])[C:127]([H:130])=[C:131]([H:133])[C:128]([H:132])=[C:126]2[H:129])([H:102])[C@@:103]([C@:104]([H:105])([H:106])[H:107])([C@:108]([H:109])([H:110])[H:111])[C@:112]([H:113])([H:114])[H:115])[C@:53]([N:2]1[C:5](=[O:3])[C:6]2=[C:11]([C:9]([H:10])=[C:117]([H:122])[C:116]([H:121])=[C:7]2[H:8])[C:12]1=[O:4])([H:54])[C@:55]([C@:56]([H:57])([H:58])[H:59])([C@:60]([H:61])([H:62])[H:63])[C@:64]([H:65])([H:66])[H:67]</t>
  </si>
  <si>
    <t>IAW00000337</t>
  </si>
  <si>
    <t>IAW00000338</t>
  </si>
  <si>
    <t>IAW00000339</t>
  </si>
  <si>
    <t>IAW00000340</t>
  </si>
  <si>
    <t>CAT-43</t>
  </si>
  <si>
    <t>[Rh+2]123&lt;-[O:10]=[C:20]([O-:12]-&gt;[Rh+2:1](&lt;-[O:13]=[C:21]([O-:11]-&gt;1)[C@:23]([N:19]1[C:49](=[O:15])[C:51]4=[C:61]([C:59]([Cl:9])=[C:57]([Cl:7])[C:55]([Cl:5])=[C:53]4[Cl:3])[C:63]1=[O:17])([H:25])[C@:27]([C@:29]([H:31])([H:33])[H:69])([C@:35]([H:37])([H:39])[H:41])[C@:43]([H:45])([H:47])[H:71])(&lt;-[O:66]=[C:72]([O-:64]-&gt;2)[C@:74]([C@@:76]([C@:82]([H:92])([H:93])[H:94])([C@:83]([H:95])([H:96])[H:97])[C@:84]([H:98])([H:99])[H:100])([N:77]1[C:85](=[O:102])[C:101]2=[C:103]([C:86]1=[O:104])[C:119]([Cl:125])=[C:124]([Cl:131])[C:122]([Cl:130])=[C:118]2[Cl:123])[H:78])&lt;-[O-:67][C:73](=[O:65]-&gt;3)[C@@:75]([N:79]1[C:87](=[O:105])[C:106]2=[C:107]([C:88]1=[O:108])[C:121]([Cl:129])=[C:128]([Cl:133])[C:127]([Cl:132])=[C:120]2[Cl:126])([C@:80]([C@:89]([H:109])([H:110])[H:111])([C@@:90]([H:112])([H:113])[H:114])[C@:91]([H:115])([H:116])[H:117])[H:81])[C@:22]([N:18]1[C:48](=[O:14])[C:50]2=[C:60]([C:58]([Cl:8])=[C:56]([Cl:6])[C:54]([Cl:4])=[C:52]2[Cl:2])[C:62]1=[O:16])([H:24])[C@:26]([C@:28]([H:30])([H:32])[H:68])([C@:34]([H:36])([H:38])[H:40])[C@:42]([H:44])([H:46])[H:70]</t>
  </si>
  <si>
    <t>IAW00000341</t>
  </si>
  <si>
    <t>IAW00000342</t>
  </si>
  <si>
    <t>IAW00000343</t>
  </si>
  <si>
    <t>IAW00000344</t>
  </si>
  <si>
    <t>CAT-44</t>
  </si>
  <si>
    <t>[Rh+2]123&lt;-[O-:6][C:26](=[O:7]-&gt;[Rh+2:1](&lt;-[O-:11][C:48](=[O:10]-&gt;1)[C@@:49]1([H:50])[N:23]([S@@:3](=[O:12])(=[O:13])[C:60]4=[C:68]([H:69])[C:66]([H:67])=[C:65]([C@@:114]([H:115])([H:116])[C@:117]([H:118])([H:119])[C@@:120]([H:121])([H:122])[C@:123]([H:124])([H:125])[C@@:126]([H:127])([H:128])[C@:129]([H:130])([H:131])[C@:132]([H:133])([H:134])[C@:135]([H:136])([H:137])[C@:138]([H:139])([H:140])[C@:141]([H:142])([H:143])[C@:144]([H:145])([H:146])[C@@:147]([H:148])([H:149])[H:150])[C:63]([H:64])=[C:61]4[H:62])[C@:57]([H:58])([H:59])[C@:54]([H:55])([H:56])[C@@:51]1([H:52])[H:53])(&lt;-[O:15]=[C:70]([O-:14]-&gt;2)[C@@:71]1([H:72])[N:24]([S@:4](=[O:16])(=[O:17])[C:82]2=[C:90]([H:91])[C:88]([H:89])=[C:87]([C@:225]([H:226])([H:227])[C@@:228]([H:229])([H:230])[C@:231]([H:232])([H:233])[C@@:234]([H:235])([H:236])[C@:237]([H:238])([H:239])[C@@:240]([H:241])([H:242])[C@@:243]([H:244])([H:245])[C@@:246]([H:247])([H:248])[C@:249]([H:250])([H:251])[C@@:252]([H:253])([H:254])[C@:255]([H:256])([H:257])[C@@:258]([H:259])([H:260])[H:261])[C:85]([H:86])=[C:83]2[H:84])[C@:79]([H:80])([H:81])[C@:76]([H:77])([H:78])[C@:73]1([H:74])[H:75])&lt;-[O-:19][C:92](=[O:18]-&gt;3)[C@@:93]1([H:94])[N:25]([S@:5](=[O:20])(=[O:21])[C:104]2=[C:105]([H:106])[C:107]([H:108])=[C:109]([C@@:188]([H:189])([H:190])[C@@:191]([H:192])([H:193])[C@@:194]([H:195])([H:196])[C@@:197]([H:198])([H:199])[C@@:200]([H:201])([H:202])[C@:203]([H:204])([H:205])[C@@:206]([H:207])([H:208])[C@:209]([H:210])([H:211])[C@@:212]([H:213])([H:214])[C@@:215]([H:216])([H:217])[C@@:218]([H:219])([H:220])[C@@:221]([H:222])([H:223])[H:224])[C:110]([H:111])=[C:112]2[H:113])[C@:101]([H:102])([H:103])[C@:98]([H:99])([H:100])[C@:95]1([H:96])[H:97])[C@@:27]1([H:28])[N:22]([S@@:2](=[O:8])(=[O:9])[C:38]2=[C:39]([H:40])[C:41]([H:42])=[C:43]([C@@:151]([H:152])([H:153])[C@:154]([H:155])([H:156])[C@@:157]([H:158])([H:159])[C@:160]([H:161])([H:162])[C@@:163]([H:164])([H:165])[C@:166]([H:167])([H:168])[C@@:169]([H:170])([H:171])[C@:172]([H:173])([H:174])[C@@:175]([H:176])([H:177])[C@:178]([H:179])([H:180])[C@@:181]([H:182])([H:183])[C@@:184]([H:185])([H:186])[H:187])[C:44]([H:45])=[C:46]2[H:47])[C@:35]([H:36])([H:37])[C@@:32]([H:33])([H:34])[C@:29]1([H:30])[H:31]</t>
  </si>
  <si>
    <t>IAW00000345</t>
  </si>
  <si>
    <t>IAW00000346</t>
  </si>
  <si>
    <t>IAW00000347</t>
  </si>
  <si>
    <t>IAW00000348</t>
  </si>
  <si>
    <t>CAT-45</t>
  </si>
  <si>
    <t>[P]12([C@@:22]([C@:23]([P:1]3(-&gt;[Co+2:42]&lt;-145(&lt;-[O:3]=[C:40]([O-:5]-&gt;4)[C@:130]([H:131])([H:132])[C@:133]([H:134])([H:135])[C@@:136]([H:137])([H:138])[C@:139]([H:140])([H:141])[C@@:142]([H:143])([H:144])[C@:145]([H:146])([H:147])[C@@:148]([H:149])([H:150])[C@:151]([H:152])([H:153])[C@@:154]([H:155])([H:156])[C@:157]([H:158])([H:159])[C@:160]([H:161])([H:162])[C@:163]([H:164])([H:165])[C@@:166]([H:167])([H:168])[C@:169]([H:170])([H:171])[C@@:172]([H:173])([H:174])[C@:175]([H:176])([H:177])[C@@:178]([H:179])([H:180])[H:181])&lt;-[O-:7][C:41](=[O:9]-&gt;5)[C@:78]([H:79])([H:80])[C@:81]([H:82])([H:83])[C@:84]([H:85])([H:86])[C@@:87]([H:88])([H:89])[C@:90]([H:91])([H:92])[C@:93]([H:94])([H:95])[C@:96]([H:97])([H:98])[C@:99]([H:100])([H:101])[C@:102]([H:103])([H:104])[C@:105]([H:106])([H:107])[C@@:108]([H:109])([H:110])[C@:111]([H:112])([H:113])[C@@:114]([H:115])([H:116])[C@:117]([H:118])([H:119])[C@@:120]([H:121])([H:122])[C@:123]([H:124])([H:125])[C@@:126]([H:127])([H:128])[H:129])[C@@:24]([C:28]1=[C:33]([H:60])[C:32]([H:59])=[C:31]([H:58])[C:30]([H:57])=[C:29]1[H:56])([H:54])[C@:25]([H:74])([H:75])[C@@:26]([H:76])([H:77])[C@:27]3([C:34]1=[C:35]([H:61])[C:36]([H:62])=[C:37]([H:63])[C:38]([H:64])=[C:39]1[H:65])[H:55])([H:72])[H:73])([H:70])[H:71])[C@@:2]([C:10]1=[C:11]([H:45])[C:12]([H:182])=[C:13]([H:46])[C:14]([H:47])=[C:15]1[H:48])([H:43])[C@:4]([H:66])([H:67])[C@:6]([H:68])([H:69])[C@:8]2([C:16]1=[C:17]([H:49])[C:18]([H:50])=[C:19]([H:51])[C:20]([H:52])=[C:21]1[H:53])[H:44]</t>
  </si>
  <si>
    <t>IAW00000349</t>
  </si>
  <si>
    <t>IAW00000350</t>
  </si>
  <si>
    <t>IAW00000351</t>
  </si>
  <si>
    <t>IAW00000352</t>
  </si>
  <si>
    <t>SOL-8</t>
  </si>
  <si>
    <t>[H]OC(C([H])([H])[H])(C([H])([H])[H])C([H])([H])[H]</t>
  </si>
  <si>
    <t>IAW00000353</t>
  </si>
  <si>
    <t>IAW00000354</t>
  </si>
  <si>
    <t>IAW00000355</t>
  </si>
  <si>
    <t>IAW00000356</t>
  </si>
  <si>
    <t>CAT-46</t>
  </si>
  <si>
    <t>[P]12([C:12]3=[C:2]([H:54])[C:3]([H:4])=[C:5]([H:6])[C:7]([H:8])=[C:9]3[P:1]3(-&gt;[Co+2:76]&lt;-1(&lt;-[O-:71][C:72](=[O:75])[C@@:79]([H:80])([H:81])[C@@:82]([H:83])([H:84])[C@:85]([H:86])([H:87])[C@@:88]([H:89])([H:90])[C@:91]([H:92])([H:93])[C@@:94]([H:95])([H:96])[C@:97]([H:98])([H:99])[C@@:100]([H:101])([H:102])[C@:103]([H:104])([H:105])[C@@:106]([H:107])([H:108])[C@@:109]([H:110])([H:111])[C@@:112]([H:113])([H:114])[C@:115]([H:116])([H:117])[C@:118]([H:119])([H:120])[C@:121]([H:122])([H:123])[C@:124]([H:125])([H:126])[C@@:127]([H:128])([H:129])[H:130])&lt;-[O-:73][C:74](=[O:78])[C@@:131]([H:132])([H:133])[C@@:134]([H:135])([H:136])[C@:137]([H:138])([H:139])[C@@:140]([H:141])([H:142])[C@:143]([H:144])([H:145])[C@@:146]([H:147])([H:148])[C@:149]([H:150])([H:151])[C@@:152]([H:153])([H:154])[C@:155]([H:156])([H:157])[C@@:158]([H:159])([H:160])[C@:161]([H:162])([H:163])[C@@:164]([H:165])([H:166])[C@:167]([H:168])([H:169])[C@@:170]([H:171])([H:172])[C@:173]([H:174])([H:175])[C@@:176]([H:177])([H:178])[C@@:179]([H:180])([H:181])[H:182])[C@@:24]([H:25])([C@:34]([H:35])([C@:36]([H:37])([H:38])[H:77])[C@:39]([H:40])([H:41])[H:42])[C@:26]([H:27])([H:28])[C@@:29]([H:30])([H:31])[C@:32]3([H:33])[C@@:43]([H:44])([C@:45]([H:46])([H:47])[H:48])[C@:49]([H:50])([H:51])[H:52])[C@@:10]([H:11])([C@@:15]([H:16])([C@:17]([H:18])([H:19])[H:56])[C@:20]([H:21])([H:22])[H:23])[C@@:55]([H:60])([H:61])[C@:57]([H:62])([H:63])[C@@:53]2([C@@:58]([H:13])([C@:64]([H:66])([H:67])[H:68])[C@:65]([H:14])([H:69])[H:70])[H:59]</t>
  </si>
  <si>
    <t>IAW00000357</t>
  </si>
  <si>
    <t>IAW00000358</t>
  </si>
  <si>
    <t>IAW00000359</t>
  </si>
  <si>
    <t>IAW00000360</t>
  </si>
  <si>
    <t>CAT-47</t>
  </si>
  <si>
    <t>[Fe+2]123456789&lt;-[C:3]%10([P:1]%11(-&gt;[Co+2:41](&lt;-[P:2]%12([C:12]-&gt;1%13=[C:17]-&gt;2([H:18])[C:15]-&gt;3([H:16])=[C:14]-&gt;4([H:33])[C-:13]-&gt;5%13[H:32])[C@:29]([H:30])([C@@:148]([H:149])([H:150])[H:151])[C@:34]([H:37])([H:38])[C@:36]([H:39])([H:40])[C@@:31]%12([H:35])[C@@:156]([H:157])([H:158])[H:159])(&lt;-[O-:42][C:45]([C@@:160]([C@@:46]([H:47])([H:48])[C@:49]([H:50])([H:51])[C@@:52]([H:53])([H:54])[C@:55]([H:56])([H:57])[C@@:58]([H:59])([H:60])[C@:61]([H:62])([H:63])[C@@:64]([H:65])([H:66])[C@:67]([H:68])([H:69])[C@@:70]([H:71])([H:72])[C@:73]([H:74])([H:75])[C@@:76]([H:77])([H:78])[C@:79]([H:80])([H:81])[C@@:82]([H:83])([H:84])[C@@:85]([H:86])([H:87])[C@@:88]([H:89])([H:90])[C@@:91]([H:92])([H:93])[H:94])([H:166])[H:167])=[O:165])&lt;-[O-:43][C:44]([C@@:161]([C@@:95]([H:96])([H:97])[C@@:98]([H:99])([H:100])[C@:101]([H:102])([H:103])[C@@:104]([H:105])([H:106])[C@:107]([H:108])([H:109])[C@@:110]([H:111])([H:112])[C@:113]([H:114])([H:115])[C@@:116]([H:117])([H:118])[C@@:119]([H:120])([H:121])[C@@:122]([H:123])([H:124])[C@@:125]([H:126])([H:127])[C@:128]([H:129])([H:130])[C@@:131]([H:132])([H:133])[C@:134]([H:135])([H:136])[C@:137]([H:138])([H:139])[C@@:140]([H:141])([H:142])[H:143])([H:162])[H:163])=[O:164])[C@:19]([H:20])([C@@:144]([H:145])([H:146])[H:147])[C@@:21]([H:22])([H:23])[C@:24]([H:25])([H:26])[C@@:27]%11([H:28])[C@@:152]([H:153])([H:154])[H:155])=[C:4]-&gt;6([H:5])[C:6]-&gt;7([H:7])=[C:8]-&gt;8([H:9])[C-:10]-&gt;9%10[H:11]</t>
  </si>
  <si>
    <t>IAW00000361</t>
  </si>
  <si>
    <t>IAW00000362</t>
  </si>
  <si>
    <t>IAW00000363</t>
  </si>
  <si>
    <t>IAW00000364</t>
  </si>
  <si>
    <t>CAT-48</t>
  </si>
  <si>
    <t>[Co+2]123&lt;-[O-:1][C:7](=[C:8]([C:9](=[N:5]-&gt;1[C@@:10]([C@:11]([N:6]-&gt;2=[C:12]([C:13](=[C:14]([O-:2]-&gt;3)[C@@:37]([H:71])([H:72])[H:74])[C:35](=[O:4])[C@@:36]([H:68])([H:69])[H:70])[H:41])([C:26]1=[C:31]([C@@:34]([H:65])([H:66])[H:67])[C:30]([H:58])=[C:29]([C@@:33]([H:62])([H:63])[H:64])[C:28]([H:57])=[C:27]1[C@@:32]([H:59])([H:60])[H:61])[H:40])([C:17]1=[C:22]([C@@:25]([H:54])([H:55])[H:56])[C:21]([H:47])=[C:20]([C@@:24]([H:51])([H:52])[H:53])[C:19]([H:46])=[C:18]1[C@@:23]([H:48])([H:49])[H:50])[H:39])[H:38])[C:15](=[O:3])[C@@:16]([H:43])([H:44])[H:45])[C@:73]([H:42])([H:75])[H:76]</t>
  </si>
  <si>
    <t>IAW00000365</t>
  </si>
  <si>
    <t>IAW00000366</t>
  </si>
  <si>
    <t>IAW00000367</t>
  </si>
  <si>
    <t>IAW00000368</t>
  </si>
  <si>
    <t>CAT-49</t>
  </si>
  <si>
    <t>[N]12=[C:10]([C:9]3=[C:4]([O-:1]-&gt;[Co+2:40]&lt;-14&lt;-[N:2]([C@@:16]1([H:53])[C@@:11]2([H:44])[C@@:12]([H:45])([H:46])[C@:13]([H:47])([H:48])[C@@:14]([H:49])([H:50])[C@@:15]1([H:51])[H:52])=[C:17]([C:18]1=[C:23]([O-:3]-&gt;4)[C:22]([C@@:36]([C@@:37]([H:84])([H:85])[H:86])([C@@:38]([H:87])([H:88])[H:89])[C@@:39]([H:90])([H:91])[H:92])=[C:21]([H:56])[C:20]([C@@:32]([C@@:33]([H:75])([H:76])[H:77])([C@@:34]([H:78])([H:79])[H:80])[C@@:35]([H:81])([H:82])[H:83])=[C:19]1[H:55])[H:54])[C:5]([C@:24]([C@@:25]([H:57])([H:58])[H:59])([C@@:26]([H:60])([H:61])[H:62])[C@@:27]([H:63])([H:64])[H:65])=[C:6]([H:41])[C:7]([C@@:28]([C@@:29]([H:66])([H:67])[H:68])([C@@:30]([H:69])([H:70])[H:71])[C@@:31]([H:72])([H:73])[H:74])=[C:8]3[H:42])[H:43]</t>
  </si>
  <si>
    <t>IAW00000369</t>
  </si>
  <si>
    <t>IAW00000370</t>
  </si>
  <si>
    <t>IAW00000371</t>
  </si>
  <si>
    <t>IAW00000372</t>
  </si>
  <si>
    <t>CAT-50</t>
  </si>
  <si>
    <t>[Co+3]123(&lt;-[Cl-:1])&lt;-[O-:2][C:59]4=[C:62]([C@:11]([C@:12]([H:13])([H:14])[H:63])([C@:15]([H:16])([H:17])[H:18])[C@:19]([H:20])([H:21])[H:22])[C:71]([H:78])=[C:79]([C@:81]([C@@:82]([H:85])([H:86])[H:87])([C@@:83]([H:88])([H:89])[H:90])[C@:84]([H:91])([H:92])[H:93])[C:73]([H:80])=[C:66]4[C:65](=[N:58]-&gt;1[C@@:61]1([H:5])[C@@:9]([N:4]-&gt;2=[C:23]([H:24])[C:25]2=[C:26]([O-:3]-&gt;3)[C:27]([C@:33]([C@:34]([H:35])([H:36])[H:64])([C@:37]([H:38])([H:39])[H:40])[C@:41]([H:42])([H:43])[H:44])=[C:28]([H:29])[C:30]([C@@:45]([C@:46]([H:47])([H:48])[H:49])([C@:50]([H:51])([H:52])[H:53])[C@:54]([H:55])([H:56])[H:57])=[C:31]2[H:32])([H:10])[C@:6]([H:7])([H:8])[C@:60]([H:67])([H:69])[C@@:68]([H:74])([H:75])[C@:70]1([H:76])[H:77])[H:72]</t>
  </si>
  <si>
    <t>IAW00000373</t>
  </si>
  <si>
    <t>IAW00000374</t>
  </si>
  <si>
    <t>IAW00000375</t>
  </si>
  <si>
    <t>IAW00000376</t>
  </si>
  <si>
    <t>CAT-51</t>
  </si>
  <si>
    <t>[Co+3]123(&lt;-[O-:1][C:58]4=[C:61]([C@:10]([C@:11]([H:12])([H:13])[H:62])([C@:14]([H:15])([H:16])[H:17])[C@:18]([H:19])([H:20])[H:21])[C:70]([H:77])=[C:78]([C@:80]([C@@:81]([H:84])([H:85])[H:86])([C@@:82]([H:87])([H:88])[H:89])[C@:83]([H:90])([H:91])[H:92])[C:72]([H:79])=[C:65]4[C:64](=[N:57]-&gt;1[C@:60]1([H:4])[C@:8]([N:3]-&gt;2=[C:22]([H:23])[C:24]2=[C:25]([O-:2]-&gt;3)[C:26]([C@:32]([C@:33]([H:34])([H:35])[H:63])([C@:36]([H:37])([H:38])[H:39])[C@:40]([H:41])([H:42])[H:43])=[C:27]([H:28])[C:29]([C@@:44]([C@:45]([H:46])([H:47])[H:48])([C@:49]([H:50])([H:51])[H:52])[C@:53]([H:54])([H:55])[H:56])=[C:30]2[H:31])([H:9])[C@:5]([H:6])([H:7])[C@:59]([H:66])([H:68])[C@@:67]([H:73])([H:74])[C@:69]1([H:75])[H:76])[H:71])&lt;-[O-:93][S@@:108]([C:94]1=[C:95]([H:100])[C:96]([H:101])=[C:97]([C@@:104]([H:105])([H:106])[H:107])[C:98]([H:102])=[C:99]1[H:103])(=[O:109])=[O:110]</t>
  </si>
  <si>
    <t>IAW00000377</t>
  </si>
  <si>
    <t>IAW00000378</t>
  </si>
  <si>
    <t>IAW00000379</t>
  </si>
  <si>
    <t>IAW00000380</t>
  </si>
  <si>
    <t>CAT-52</t>
  </si>
  <si>
    <t>SOL-9</t>
  </si>
  <si>
    <t>[Fe+2]123456789&lt;-[C:3]%10([P:1]%11(-&gt;[Ni+2:71](&lt;-[P:2]%12([C:12]-&gt;1%13=[C:17]-&gt;2([H:18])[C:15]-&gt;3([H:16])=[C:14]-&gt;4([H:33])[C-:13]-&gt;5%13[H:32])[C@:29]([H:30])([C@@:49]([H:50])([H:51])[H:52])[C@:34]([H:37])([H:38])[C@:36]([H:39])([H:40])[C@@:31]%12([H:35])[C@@:57]([H:58])([H:59])[H:60])(&lt;-[O-:41][C:44]([C@@:61]([H:67])([H:68])[H:69])=[O:66])&lt;-[O-:42][C:43]([C@@:62]([H:63])([H:64])[H:70])=[O:65])[C@:19]([H:20])([C@@:45]([H:46])([H:47])[H:48])[C@@:21]([H:22])([H:23])[C@:24]([H:25])([H:26])[C@@:27]%11([H:28])[C@@:53]([H:54])([H:55])[H:56])=[C:4]-&gt;6([H:5])[C:6]-&gt;7([H:7])=[C:8]-&gt;8([H:9])[C-:10]-&gt;9%10[H:11]</t>
  </si>
  <si>
    <t>[H]OC([H])([H])C(F)(F)F</t>
  </si>
  <si>
    <t>IAW00000381</t>
  </si>
  <si>
    <t>IAW00000382</t>
  </si>
  <si>
    <t>IAW00000383</t>
  </si>
  <si>
    <t>IAW00000384</t>
  </si>
  <si>
    <t>CAT-53</t>
  </si>
  <si>
    <t>C12[P:44]3(-&gt;[Ni+2:46](&lt;-[O-:41][C:34]([C@:35]([H:36])([H:37])[H:38])=[O:40])(&lt;-[O-:42][C:39](=[O:43])[C@@:48]([H:53])([H:54])[H:55])&lt;-[P:45]4([C:1]1=[C:2]([H:3])[C:4]([H:5])=[C:6]([H:7])[C:8]=2[H:9])[C@:28]([H:29])([C@:30]([H:31])([H:32])[H:33])[C@@:47]([H:50])([H:51])[C@:52]([H:58])([H:59])[C@@:49]4([H:56])[C@@:57]([H:60])([H:61])[H:62])[C@@:14]([C@:10]([H:11])([H:12])[H:13])([H:15])[C@@:16]([H:17])([H:18])[C@@:19]([H:20])([H:21])[C@@:22]3([H:23])[C@:24]([H:25])([H:26])[H:27]</t>
  </si>
  <si>
    <t>IAW00000385</t>
  </si>
  <si>
    <t>IAW00000386</t>
  </si>
  <si>
    <t>IAW00000387</t>
  </si>
  <si>
    <t>IAW00000388</t>
  </si>
  <si>
    <t>CAT-54</t>
  </si>
  <si>
    <t>[P]12([C@@:22]([C@:23]([P:1]3(-&gt;[Ni+2:86]&lt;-1(&lt;-[O-:5][C:40](=[O:3])[C@:80]([H:81])([H:82])[H:84])&lt;-[O-:7][C:41](=[O:9])[C@:77]([H:78])([H:79])[H:85])[C@@:24]([C:28]1=[C:33]([H:59])[C:32]([H:58])=[C:31]([H:57])[C:30]([H:56])=[C:29]1[H:55])([H:53])[C@:25]([H:73])([H:74])[C@@:26]([H:75])([H:76])[C@:27]3([C:34]1=[C:35]([H:60])[C:36]([H:61])=[C:37]([H:62])[C:38]([H:63])=[C:39]1[H:64])[H:54])([H:71])[H:72])([H:69])[H:70])[C@@:2]([C:10]1=[C:11]([H:44])[C:12]([H:83])=[C:13]([H:45])[C:14]([H:46])=[C:15]1[H:47])([H:42])[C@:4]([H:65])([H:66])[C@:6]([H:67])([H:68])[C@:8]2([C:16]1=[C:17]([H:48])[C:18]([H:49])=[C:19]([H:50])[C:20]([H:51])=[C:21]1[H:52])[H:43]</t>
  </si>
  <si>
    <t>IAW00000389</t>
  </si>
  <si>
    <t>IAW00000390</t>
  </si>
  <si>
    <t>IAW00000391</t>
  </si>
  <si>
    <t>IAW00000392</t>
  </si>
  <si>
    <t>CAT-55</t>
  </si>
  <si>
    <t>[P]12([C:12]3=[C:2]([H:54])[C:3]([H:4])=[C:5]([H:6])[C:7]([H:8])=[C:9]3[P:1]3(-&gt;[Ni+2:86]&lt;-1(&lt;-[O-:71][C:72](=[O:75])[C@@:78]([H:79])([H:80])[H:84])&lt;-[O-:73][C:74](=[O:77])[C@@:81]([H:82])([H:83])[H:85])[C@@:24]([H:25])([C@:34]([H:35])([C@:36]([H:37])([H:38])[H:76])[C@:39]([H:40])([H:41])[H:42])[C@:26]([H:27])([H:28])[C@@:29]([H:30])([H:31])[C@:32]3([H:33])[C@@:43]([H:44])([C@:45]([H:46])([H:47])[H:48])[C@:49]([H:50])([H:51])[H:52])[C@@:10]([H:11])([C@@:15]([H:16])([C@:17]([H:18])([H:19])[H:56])[C@:20]([H:21])([H:22])[H:23])[C@@:55]([H:60])([H:61])[C@:57]([H:62])([H:63])[C@@:53]2([C@@:58]([H:13])([C@:64]([H:66])([H:67])[H:68])[C@:65]([H:14])([H:69])[H:70])[H:59]</t>
  </si>
  <si>
    <t>IAW00000393</t>
  </si>
  <si>
    <t>IAW00000394</t>
  </si>
  <si>
    <t>IAW00000395</t>
  </si>
  <si>
    <t>IAW00000396</t>
  </si>
  <si>
    <t>CAT-56</t>
  </si>
  <si>
    <t>[Ni+2]1(&lt;-[P:1]([C:2]2=[C:9]([H:10])[C:23]([H:24])=[C:34]([H:39])[C:38]([H:48])=[C:33]2[P:31]-&gt;1([C@@:35]([C@:40]([H:49])([H:50])[H:51])([C@:41]([H:52])([H:53])[H:54])[C@:42]([H:55])([H:56])[H:57])[C@:36]([H:43])([H:44])[H:45])([C@:8]([C@:4]([H:5])([H:6])[H:7])([C@:11]([H:12])([H:13])[H:14])[C@:15]([H:16])([H:17])[H:18])[C@:19]([H:20])([H:21])[H:22])(&lt;-[O-:3][C:26](=[O:25])[C@:27]([H:28])([H:29])[H:30])&lt;-[O-:32][C:37](=[O:46])[C@:47]([H:58])([H:59])[H:60]</t>
  </si>
  <si>
    <t>IAW00000397</t>
  </si>
  <si>
    <t>IAW00000398</t>
  </si>
  <si>
    <t>IAW00000399</t>
  </si>
  <si>
    <t>IAW00000400</t>
  </si>
  <si>
    <t>CAT-57</t>
  </si>
  <si>
    <t>[Br-]-&gt;[Ni+2:1]12(&lt;-[N:2]([H:3])([C@:28]3([H:29])[C@@:9]([H:10])([H:11])[C@@:35]([H:36])([H:37])[C@:38]([H:39])([H:40])[C@:12]([H:13])([H:14])[C@:17]3([N:7]-&gt;1([H:8])[C@:59]([H:60])([H:61])[C:70]1=[C:81]([H:92])[C:91]([H:96])=[C:95]([H:97])[C:90]([H:94])=[C:80]1[H:89])[H:18])[C@:30]([C:16]1=[C:26]([H:27])[C:20]([H:21])=[C:41]([H:42])[C:33]([H:34])=[C:22]1[H:23])([H:31])[H:32])(&lt;-[N:4]([C@@:24]1([H:25])[C@@:19]([N:5]-&gt;2([H:6])[C@:54]([C:47]2=[C:50]([H:51])[C:52]([H:53])=[C:57]([H:58])[C:62]([H:63])=[C:48]2[H:49])([H:55])[H:56])([H:65])[C@@:66]([H:15])([H:72])[C@:71]([H:82])([H:83])[C@:75]([H:84])([H:85])[C@:67]1([H:73])[H:74])([C@:43]([H:44])([H:45])[C:46]1=[C:69]([H:79])[C:78]([H:88])=[C:86]([H:93])[C:76]([H:87])=[C:68]1[H:77])[H:98])&lt;-[Br-:64]</t>
  </si>
  <si>
    <t>IAW00000401</t>
  </si>
  <si>
    <t>IAW00000402</t>
  </si>
  <si>
    <t>IAW00000403</t>
  </si>
  <si>
    <t>IAW00000404</t>
  </si>
  <si>
    <t>CAT-58</t>
  </si>
  <si>
    <t>[N-]12[C:3](=[O:2])[C@@:4]3([H:5])[N:1]([C@:25]([C:28]4=[C:33]([H:14])[C:38]([H:48])=[C:49]([H:56])[C:39]([H:50])=[C:34]4[H:40])([H:29])[H:30])(-&gt;[Ni+2:58]&lt;-14&lt;-[N:32](=[C:27]([C:15]1=[C:16]2[C:17]([H:18])=[C:19]([H:20])[C:21]([H:22])=[C:23]1[H:24])[C:31]1=[C:36]([H:43])[C:44]([H:53])=[C:51]([H:57])[C:42]([H:52])=[C:35]1[H:41])[C@@:37]([H:45])([H:46])[C:47]([O-:54]-&gt;4)=[O:55])[C@@:12]([H:13])([H:26])[C@:9]([H:10])([H:11])[C@:6]3([H:7])[H:8]</t>
  </si>
  <si>
    <t>IAW00000405</t>
  </si>
  <si>
    <t>IAW00000406</t>
  </si>
  <si>
    <t>IAW00000407</t>
  </si>
  <si>
    <t>IAW00000408</t>
  </si>
  <si>
    <t>CAT-59</t>
  </si>
  <si>
    <t>[Pd+2]1(&lt;-[P:63]([C:3]2=[C:1]([C:2]3=[C:4]([P:64]-&gt;1([C:24]1=[C:26]([H:28])[C:30]([H:32])=[C:34]([H:74])[C:36]([H:76])=[C:38]1[H:40])[C:42]1=[C:60]([H:62])[C:56]([H:58])=[C:52]([H:54])[C:48]([H:50])=[C:44]1[H:46])[C:6]([H:8])=[C:10]([H:12])[C:14]1=[C:22]3[C:18]([H:20])=[C:72]([H:80])[C:69]([H:78])=[C:16]1[H:70])[C:21]1=[C:13]([C:9]([H:11])=[C:5]2[H:7])[C:15]([H:68])=[C:67]([H:77])[C:71]([H:79])=[C:17]1[H:19])([C:23]1=[C:25]([H:27])[C:29]([H:31])=[C:33]([H:73])[C:35]([H:75])=[C:37]1[H:39])[C:41]1=[C:43]([H:45])[C:47]([H:49])=[C:51]([H:53])[C:55]([H:57])=[C:59]1[H:61])(&lt;-[Cl-:65])&lt;-[Cl-:66]</t>
  </si>
  <si>
    <t>IAW00000409</t>
  </si>
  <si>
    <t>IAW00000410</t>
  </si>
  <si>
    <t>IAW00000411</t>
  </si>
  <si>
    <t>IAW00000412</t>
  </si>
  <si>
    <t>CAT-60</t>
  </si>
  <si>
    <t>[Pd+2]123(&lt;-[N:2]4=[C:12]([C:13]([N-:5]-&gt;1[C@:14]([C@:15]([H:34])([H:35])[H:36])([C:16]1=[N:8]-&gt;2[C:20]([H:33])=[C:19]([H:32])[C:18]([H:31])=[C:17]1[H:30])[H:29])=[O:9])[C:11]([H:28])=[C:10]([H:27])[C:7]([H:26])=[C:4]4[C@:1]([F:23])([F:24])[F:25])&lt;-[O-:3][C:21](=[O:6]-&gt;3)[C@:22]([H:37])([H:38])[H:39]</t>
  </si>
  <si>
    <t>IAW00000413</t>
  </si>
  <si>
    <t>IAW00000414</t>
  </si>
  <si>
    <t>IAW00000415</t>
  </si>
  <si>
    <t>IAW00000416</t>
  </si>
  <si>
    <t>CAT-61</t>
  </si>
  <si>
    <t>[Cr+3]123(&lt;-[Cl-:1])&lt;-[N:2]([C@:6]4([H:7])[C@:8]([H:9])([H:10])[C@@:11]([H:12])([H:13])[C@@:14]([H:78])([H:79])[C@@:15]([H:16])([H:17])[C@:18]4([N:3]-&gt;1=[C:42]([H:43])[C:44]1=[C:45]([O-:5]-&gt;2)[C:46]([C@:52]([C@:54]([H:55])([H:56])[H:57])([C@:58]([H:59])([H:60])[H:61])[C@:62]([H:63])([H:64])[H:65])=[C:47]([H:48])[C:49]([C@:53]([C@:66]([H:67])([H:68])[H:69])([C@:70]([H:71])([H:72])[H:73])[C@:74]([H:75])([H:76])[H:77])=[C:50]1[H:51])[H:19])=[C:20]([H:21])[C:22]1=[C:23]([O-:4]-&gt;3)[C:24]([C@@:80]([C@:31]([H:32])([H:33])[H:83])([C@@:84]([H:89])([H:90])[H:91])[C@@:85]([H:30])([H:92])[H:93])=[C:25]([H:81])[C:26]([C@@:29]([C@:34]([H:35])([H:36])[H:37])([C@:38]([H:39])([H:40])[H:41])[C@:82]([H:86])([H:87])[H:88])=[C:27]1[H:28]</t>
  </si>
  <si>
    <t>IAW00000417</t>
  </si>
  <si>
    <t>IAW00000418</t>
  </si>
  <si>
    <t>IAW00000419</t>
  </si>
  <si>
    <t>IAW00000420</t>
  </si>
  <si>
    <t>CAT-62</t>
  </si>
  <si>
    <t>[Mn+3]123(&lt;-[Cl-:1])&lt;-[O-:2][C:6]4=[C:7]([C@:42]([C@:44]([H:45])([H:46])[H:47])([C@:48]([H:49])([H:50])[H:51])[C@@:79]([H:43])([H:86])[H:87])[C:8]([H:9])=[C:10]([C@@:52]([C@:53]([H:54])([H:55])[H:56])([C@:57]([H:58])([H:59])[H:80])[C@:60]([H:61])([H:62])[H:81])[C:11]([H:12])=[C:13]4[C:14](=[N:4]-&gt;1[C@:16]1([H:17])[C@:18]([H:19])([H:20])[C@@:21]([H:22])([H:23])[C@:24]([H:25])([H:26])[C@@:27]([H:28])([H:29])[C@:30]1([N:5]-&gt;2=[C:32]([H:33])[C:34]1=[C:35]([H:36])[C:37]([C@@:63]([C@:64]([H:65])([H:66])[H:67])([C@:68]([H:69])([H:70])[H:82])[C@:71]([H:72])([H:73])[H:74])=[C:38]([H:39])[C:40]([C@:78]([C@@:75]([H:76])([H:77])[H:83])([C@:84]([H:88])([H:89])[H:90])[C@:85]([H:91])([H:92])[H:93])=[C:41]1[O-:3]-&gt;3)[H:31])[H:15]</t>
  </si>
  <si>
    <t>IAW00000421</t>
  </si>
  <si>
    <t>IAW00000422</t>
  </si>
  <si>
    <t>IAW00000423</t>
  </si>
  <si>
    <t>IAW00000424</t>
  </si>
  <si>
    <t>REA-5</t>
  </si>
  <si>
    <t>IAW00000425</t>
  </si>
  <si>
    <t>REA-6</t>
  </si>
  <si>
    <t>IAW00000426</t>
  </si>
  <si>
    <t>REA-7</t>
  </si>
  <si>
    <t>IAW00000427</t>
  </si>
  <si>
    <t>REA-8</t>
  </si>
  <si>
    <t>IAW00000428</t>
  </si>
  <si>
    <t>REA-9</t>
  </si>
  <si>
    <t>IAW00000429</t>
  </si>
  <si>
    <t>REA-10</t>
  </si>
  <si>
    <t>IAW00000430</t>
  </si>
  <si>
    <t>IAW00000431</t>
  </si>
  <si>
    <t>IAW00000432</t>
  </si>
  <si>
    <t>IAW00000433</t>
  </si>
  <si>
    <t>IAW00000434</t>
  </si>
  <si>
    <t>IAW00000435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</si>
</sst>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437"/>
  <sheetViews>
    <sheetView tabSelected="1" zoomScaleSheetLayoutView="60" workbookViewId="0">
      <selection activeCell="O2" sqref="O2"/>
    </sheetView>
  </sheetViews>
  <sheetFormatPr defaultColWidth="9" defaultRowHeight="18"/>
  <cols>
    <col min="15" max="15" width="13.75" customWidth="1"/>
    <col min="21" max="21" width="9.375"/>
    <col min="24" max="24" width="12.625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</row>
    <row r="2" spans="1:25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L2">
        <v>60</v>
      </c>
      <c r="M2">
        <v>5</v>
      </c>
      <c r="N2">
        <v>0.78</v>
      </c>
      <c r="O2">
        <f>-U2*R2*LN(X2)</f>
        <v>-1.38400589773321</v>
      </c>
      <c r="P2">
        <v>1</v>
      </c>
      <c r="Q2">
        <v>0</v>
      </c>
      <c r="R2">
        <f>L2+Y2</f>
        <v>333.15</v>
      </c>
      <c r="U2">
        <v>0.001987</v>
      </c>
      <c r="V2">
        <f>1-N2</f>
        <v>0.22</v>
      </c>
      <c r="W2">
        <f>1+N2</f>
        <v>1.78</v>
      </c>
      <c r="X2">
        <f>W2/V2</f>
        <v>8.09090909090909</v>
      </c>
      <c r="Y2">
        <v>273.15</v>
      </c>
    </row>
    <row r="3" spans="1:25">
      <c r="A3" t="s">
        <v>32</v>
      </c>
      <c r="B3" t="s">
        <v>23</v>
      </c>
      <c r="C3" t="s">
        <v>24</v>
      </c>
      <c r="D3" t="s">
        <v>33</v>
      </c>
      <c r="E3" t="s">
        <v>34</v>
      </c>
      <c r="F3" t="s">
        <v>35</v>
      </c>
      <c r="G3" t="s">
        <v>28</v>
      </c>
      <c r="H3" t="s">
        <v>29</v>
      </c>
      <c r="I3" t="s">
        <v>36</v>
      </c>
      <c r="J3" t="s">
        <v>37</v>
      </c>
      <c r="L3">
        <v>60</v>
      </c>
      <c r="M3">
        <v>5</v>
      </c>
      <c r="N3">
        <v>0.42</v>
      </c>
      <c r="O3">
        <f t="shared" ref="O3:O66" si="0">-U3*R3*LN(X3)</f>
        <v>-0.592716527014049</v>
      </c>
      <c r="P3">
        <v>1</v>
      </c>
      <c r="Q3">
        <v>0</v>
      </c>
      <c r="R3">
        <f t="shared" ref="R3:R66" si="1">L3+Y3</f>
        <v>333.15</v>
      </c>
      <c r="U3">
        <v>0.001987</v>
      </c>
      <c r="V3">
        <f t="shared" ref="V3:V66" si="2">1-N3</f>
        <v>0.58</v>
      </c>
      <c r="W3">
        <f t="shared" ref="W3:W66" si="3">1+N3</f>
        <v>1.42</v>
      </c>
      <c r="X3">
        <f t="shared" ref="X3:X66" si="4">W3/V3</f>
        <v>2.44827586206897</v>
      </c>
      <c r="Y3">
        <v>273.15</v>
      </c>
    </row>
    <row r="4" spans="1:25">
      <c r="A4" t="s">
        <v>38</v>
      </c>
      <c r="B4" t="s">
        <v>23</v>
      </c>
      <c r="C4" t="s">
        <v>24</v>
      </c>
      <c r="D4" t="s">
        <v>39</v>
      </c>
      <c r="E4" t="s">
        <v>40</v>
      </c>
      <c r="F4" t="s">
        <v>41</v>
      </c>
      <c r="G4" t="s">
        <v>28</v>
      </c>
      <c r="H4" t="s">
        <v>29</v>
      </c>
      <c r="I4" t="s">
        <v>42</v>
      </c>
      <c r="J4" t="s">
        <v>43</v>
      </c>
      <c r="L4">
        <v>60</v>
      </c>
      <c r="M4">
        <v>5</v>
      </c>
      <c r="N4">
        <v>-0.33</v>
      </c>
      <c r="O4">
        <f t="shared" si="0"/>
        <v>0.453883387777033</v>
      </c>
      <c r="P4">
        <v>1</v>
      </c>
      <c r="Q4">
        <v>0</v>
      </c>
      <c r="R4">
        <f t="shared" si="1"/>
        <v>333.15</v>
      </c>
      <c r="U4">
        <v>0.001987</v>
      </c>
      <c r="V4">
        <f t="shared" si="2"/>
        <v>1.33</v>
      </c>
      <c r="W4">
        <f t="shared" si="3"/>
        <v>0.67</v>
      </c>
      <c r="X4">
        <f t="shared" si="4"/>
        <v>0.503759398496241</v>
      </c>
      <c r="Y4">
        <v>273.15</v>
      </c>
    </row>
    <row r="5" spans="1:25">
      <c r="A5" t="s">
        <v>44</v>
      </c>
      <c r="B5" t="s">
        <v>23</v>
      </c>
      <c r="C5" t="s">
        <v>24</v>
      </c>
      <c r="D5" t="s">
        <v>45</v>
      </c>
      <c r="E5" t="s">
        <v>46</v>
      </c>
      <c r="F5" t="s">
        <v>47</v>
      </c>
      <c r="G5" t="s">
        <v>28</v>
      </c>
      <c r="H5" t="s">
        <v>29</v>
      </c>
      <c r="I5" t="s">
        <v>48</v>
      </c>
      <c r="J5" t="s">
        <v>49</v>
      </c>
      <c r="L5">
        <v>60</v>
      </c>
      <c r="M5">
        <v>5</v>
      </c>
      <c r="N5">
        <v>-0.16</v>
      </c>
      <c r="O5">
        <f t="shared" si="0"/>
        <v>0.213665995841649</v>
      </c>
      <c r="P5">
        <v>1</v>
      </c>
      <c r="Q5">
        <v>0</v>
      </c>
      <c r="R5">
        <f t="shared" si="1"/>
        <v>333.15</v>
      </c>
      <c r="U5">
        <v>0.001987</v>
      </c>
      <c r="V5">
        <f t="shared" si="2"/>
        <v>1.16</v>
      </c>
      <c r="W5">
        <f t="shared" si="3"/>
        <v>0.84</v>
      </c>
      <c r="X5">
        <f t="shared" si="4"/>
        <v>0.724137931034483</v>
      </c>
      <c r="Y5">
        <v>273.15</v>
      </c>
    </row>
    <row r="6" spans="1:25">
      <c r="A6" t="s">
        <v>50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  <c r="G6" t="s">
        <v>28</v>
      </c>
      <c r="H6" t="s">
        <v>29</v>
      </c>
      <c r="I6" t="s">
        <v>30</v>
      </c>
      <c r="J6" t="s">
        <v>31</v>
      </c>
      <c r="L6">
        <v>60</v>
      </c>
      <c r="M6">
        <v>10</v>
      </c>
      <c r="N6">
        <v>0.76</v>
      </c>
      <c r="O6">
        <f t="shared" si="0"/>
        <v>-1.31892710331132</v>
      </c>
      <c r="P6">
        <v>1</v>
      </c>
      <c r="Q6">
        <v>0</v>
      </c>
      <c r="R6">
        <f t="shared" si="1"/>
        <v>333.15</v>
      </c>
      <c r="U6">
        <v>0.001987</v>
      </c>
      <c r="V6">
        <f t="shared" si="2"/>
        <v>0.24</v>
      </c>
      <c r="W6">
        <f t="shared" si="3"/>
        <v>1.76</v>
      </c>
      <c r="X6">
        <f t="shared" si="4"/>
        <v>7.33333333333333</v>
      </c>
      <c r="Y6">
        <v>273.15</v>
      </c>
    </row>
    <row r="7" spans="1:25">
      <c r="A7" t="s">
        <v>51</v>
      </c>
      <c r="B7" t="s">
        <v>23</v>
      </c>
      <c r="C7" t="s">
        <v>24</v>
      </c>
      <c r="D7" t="s">
        <v>33</v>
      </c>
      <c r="E7" t="s">
        <v>34</v>
      </c>
      <c r="F7" t="s">
        <v>35</v>
      </c>
      <c r="G7" t="s">
        <v>28</v>
      </c>
      <c r="H7" t="s">
        <v>29</v>
      </c>
      <c r="I7" t="s">
        <v>36</v>
      </c>
      <c r="J7" t="s">
        <v>37</v>
      </c>
      <c r="L7">
        <v>60</v>
      </c>
      <c r="M7">
        <v>10</v>
      </c>
      <c r="N7">
        <v>0.38</v>
      </c>
      <c r="O7">
        <f t="shared" si="0"/>
        <v>-0.52965421298188</v>
      </c>
      <c r="P7">
        <v>0.93</v>
      </c>
      <c r="Q7">
        <v>0</v>
      </c>
      <c r="R7">
        <f t="shared" si="1"/>
        <v>333.15</v>
      </c>
      <c r="U7">
        <v>0.001987</v>
      </c>
      <c r="V7">
        <f t="shared" si="2"/>
        <v>0.62</v>
      </c>
      <c r="W7">
        <f t="shared" si="3"/>
        <v>1.38</v>
      </c>
      <c r="X7">
        <f t="shared" si="4"/>
        <v>2.2258064516129</v>
      </c>
      <c r="Y7">
        <v>273.15</v>
      </c>
    </row>
    <row r="8" spans="1:25">
      <c r="A8" t="s">
        <v>52</v>
      </c>
      <c r="B8" t="s">
        <v>23</v>
      </c>
      <c r="C8" t="s">
        <v>24</v>
      </c>
      <c r="D8" t="s">
        <v>39</v>
      </c>
      <c r="E8" t="s">
        <v>40</v>
      </c>
      <c r="F8" t="s">
        <v>41</v>
      </c>
      <c r="G8" t="s">
        <v>28</v>
      </c>
      <c r="H8" t="s">
        <v>29</v>
      </c>
      <c r="I8" t="s">
        <v>42</v>
      </c>
      <c r="J8" t="s">
        <v>43</v>
      </c>
      <c r="L8">
        <v>60</v>
      </c>
      <c r="M8">
        <v>10</v>
      </c>
      <c r="N8">
        <v>-0.3</v>
      </c>
      <c r="O8">
        <f t="shared" si="0"/>
        <v>0.40978479670142</v>
      </c>
      <c r="P8">
        <v>1</v>
      </c>
      <c r="Q8">
        <v>0</v>
      </c>
      <c r="R8">
        <f t="shared" si="1"/>
        <v>333.15</v>
      </c>
      <c r="U8">
        <v>0.001987</v>
      </c>
      <c r="V8">
        <f t="shared" si="2"/>
        <v>1.3</v>
      </c>
      <c r="W8">
        <f t="shared" si="3"/>
        <v>0.7</v>
      </c>
      <c r="X8">
        <f t="shared" si="4"/>
        <v>0.538461538461538</v>
      </c>
      <c r="Y8">
        <v>273.15</v>
      </c>
    </row>
    <row r="9" spans="1:25">
      <c r="A9" t="s">
        <v>53</v>
      </c>
      <c r="B9" t="s">
        <v>23</v>
      </c>
      <c r="C9" t="s">
        <v>24</v>
      </c>
      <c r="D9" t="s">
        <v>45</v>
      </c>
      <c r="E9" t="s">
        <v>46</v>
      </c>
      <c r="F9" t="s">
        <v>47</v>
      </c>
      <c r="G9" t="s">
        <v>28</v>
      </c>
      <c r="H9" t="s">
        <v>29</v>
      </c>
      <c r="I9" t="s">
        <v>48</v>
      </c>
      <c r="J9" t="s">
        <v>49</v>
      </c>
      <c r="L9">
        <v>60</v>
      </c>
      <c r="M9">
        <v>10</v>
      </c>
      <c r="N9">
        <v>-0.14</v>
      </c>
      <c r="O9">
        <f t="shared" si="0"/>
        <v>0.186576739424175</v>
      </c>
      <c r="P9">
        <v>1</v>
      </c>
      <c r="Q9">
        <v>0</v>
      </c>
      <c r="R9">
        <f t="shared" si="1"/>
        <v>333.15</v>
      </c>
      <c r="U9">
        <v>0.001987</v>
      </c>
      <c r="V9">
        <f t="shared" si="2"/>
        <v>1.14</v>
      </c>
      <c r="W9">
        <f t="shared" si="3"/>
        <v>0.86</v>
      </c>
      <c r="X9">
        <f t="shared" si="4"/>
        <v>0.754385964912281</v>
      </c>
      <c r="Y9">
        <v>273.15</v>
      </c>
    </row>
    <row r="10" spans="1:25">
      <c r="A10" t="s">
        <v>54</v>
      </c>
      <c r="B10" t="s">
        <v>23</v>
      </c>
      <c r="C10" t="s">
        <v>24</v>
      </c>
      <c r="D10" t="s">
        <v>25</v>
      </c>
      <c r="E10" t="s">
        <v>26</v>
      </c>
      <c r="F10" t="s">
        <v>27</v>
      </c>
      <c r="G10" t="s">
        <v>28</v>
      </c>
      <c r="H10" t="s">
        <v>29</v>
      </c>
      <c r="I10" t="s">
        <v>30</v>
      </c>
      <c r="J10" t="s">
        <v>31</v>
      </c>
      <c r="L10">
        <v>60</v>
      </c>
      <c r="M10">
        <v>30</v>
      </c>
      <c r="N10">
        <v>0.76</v>
      </c>
      <c r="O10">
        <f t="shared" si="0"/>
        <v>-1.31892710331132</v>
      </c>
      <c r="P10">
        <v>1</v>
      </c>
      <c r="Q10">
        <v>0</v>
      </c>
      <c r="R10">
        <f t="shared" si="1"/>
        <v>333.15</v>
      </c>
      <c r="U10">
        <v>0.001987</v>
      </c>
      <c r="V10">
        <f t="shared" si="2"/>
        <v>0.24</v>
      </c>
      <c r="W10">
        <f t="shared" si="3"/>
        <v>1.76</v>
      </c>
      <c r="X10">
        <f t="shared" si="4"/>
        <v>7.33333333333333</v>
      </c>
      <c r="Y10">
        <v>273.15</v>
      </c>
    </row>
    <row r="11" spans="1:25">
      <c r="A11" t="s">
        <v>55</v>
      </c>
      <c r="B11" t="s">
        <v>23</v>
      </c>
      <c r="C11" t="s">
        <v>24</v>
      </c>
      <c r="D11" t="s">
        <v>33</v>
      </c>
      <c r="E11" t="s">
        <v>34</v>
      </c>
      <c r="F11" t="s">
        <v>35</v>
      </c>
      <c r="G11" t="s">
        <v>28</v>
      </c>
      <c r="H11" t="s">
        <v>29</v>
      </c>
      <c r="I11" t="s">
        <v>36</v>
      </c>
      <c r="J11" t="s">
        <v>37</v>
      </c>
      <c r="L11">
        <v>60</v>
      </c>
      <c r="M11">
        <v>30</v>
      </c>
      <c r="N11">
        <v>0.4</v>
      </c>
      <c r="O11">
        <f t="shared" si="0"/>
        <v>-0.56088495970755</v>
      </c>
      <c r="P11">
        <v>1</v>
      </c>
      <c r="Q11">
        <v>0</v>
      </c>
      <c r="R11">
        <f t="shared" si="1"/>
        <v>333.15</v>
      </c>
      <c r="U11">
        <v>0.001987</v>
      </c>
      <c r="V11">
        <f t="shared" si="2"/>
        <v>0.6</v>
      </c>
      <c r="W11">
        <f t="shared" si="3"/>
        <v>1.4</v>
      </c>
      <c r="X11">
        <f t="shared" si="4"/>
        <v>2.33333333333333</v>
      </c>
      <c r="Y11">
        <v>273.15</v>
      </c>
    </row>
    <row r="12" spans="1:25">
      <c r="A12" t="s">
        <v>56</v>
      </c>
      <c r="B12" t="s">
        <v>23</v>
      </c>
      <c r="C12" t="s">
        <v>24</v>
      </c>
      <c r="D12" t="s">
        <v>39</v>
      </c>
      <c r="E12" t="s">
        <v>40</v>
      </c>
      <c r="F12" t="s">
        <v>41</v>
      </c>
      <c r="G12" t="s">
        <v>28</v>
      </c>
      <c r="H12" t="s">
        <v>29</v>
      </c>
      <c r="I12" t="s">
        <v>42</v>
      </c>
      <c r="J12" t="s">
        <v>43</v>
      </c>
      <c r="L12">
        <v>60</v>
      </c>
      <c r="M12">
        <v>30</v>
      </c>
      <c r="N12">
        <v>0.21</v>
      </c>
      <c r="O12">
        <f t="shared" si="0"/>
        <v>-0.282225667545522</v>
      </c>
      <c r="P12">
        <v>1</v>
      </c>
      <c r="Q12">
        <v>0</v>
      </c>
      <c r="R12">
        <f t="shared" si="1"/>
        <v>333.15</v>
      </c>
      <c r="U12">
        <v>0.001987</v>
      </c>
      <c r="V12">
        <f t="shared" si="2"/>
        <v>0.79</v>
      </c>
      <c r="W12">
        <f t="shared" si="3"/>
        <v>1.21</v>
      </c>
      <c r="X12">
        <f t="shared" si="4"/>
        <v>1.53164556962025</v>
      </c>
      <c r="Y12">
        <v>273.15</v>
      </c>
    </row>
    <row r="13" spans="1:25">
      <c r="A13" t="s">
        <v>57</v>
      </c>
      <c r="B13" t="s">
        <v>23</v>
      </c>
      <c r="C13" t="s">
        <v>24</v>
      </c>
      <c r="D13" t="s">
        <v>45</v>
      </c>
      <c r="E13" t="s">
        <v>46</v>
      </c>
      <c r="F13" t="s">
        <v>47</v>
      </c>
      <c r="G13" t="s">
        <v>28</v>
      </c>
      <c r="H13" t="s">
        <v>29</v>
      </c>
      <c r="I13" t="s">
        <v>48</v>
      </c>
      <c r="J13" t="s">
        <v>49</v>
      </c>
      <c r="L13">
        <v>60</v>
      </c>
      <c r="M13">
        <v>30</v>
      </c>
      <c r="N13">
        <v>0.34</v>
      </c>
      <c r="O13">
        <f t="shared" si="0"/>
        <v>-0.468796590018467</v>
      </c>
      <c r="P13">
        <v>1</v>
      </c>
      <c r="Q13">
        <v>0</v>
      </c>
      <c r="R13">
        <f t="shared" si="1"/>
        <v>333.15</v>
      </c>
      <c r="U13">
        <v>0.001987</v>
      </c>
      <c r="V13">
        <f t="shared" si="2"/>
        <v>0.66</v>
      </c>
      <c r="W13">
        <f t="shared" si="3"/>
        <v>1.34</v>
      </c>
      <c r="X13">
        <f t="shared" si="4"/>
        <v>2.03030303030303</v>
      </c>
      <c r="Y13">
        <v>273.15</v>
      </c>
    </row>
    <row r="14" spans="1:25">
      <c r="A14" t="s">
        <v>58</v>
      </c>
      <c r="B14" t="s">
        <v>23</v>
      </c>
      <c r="C14" t="s">
        <v>24</v>
      </c>
      <c r="D14" t="s">
        <v>25</v>
      </c>
      <c r="E14" t="s">
        <v>26</v>
      </c>
      <c r="F14" t="s">
        <v>27</v>
      </c>
      <c r="G14" t="s">
        <v>28</v>
      </c>
      <c r="H14" t="s">
        <v>29</v>
      </c>
      <c r="I14" t="s">
        <v>30</v>
      </c>
      <c r="J14" t="s">
        <v>31</v>
      </c>
      <c r="L14">
        <v>60</v>
      </c>
      <c r="M14">
        <v>50</v>
      </c>
      <c r="N14">
        <v>0.77</v>
      </c>
      <c r="O14">
        <f t="shared" si="0"/>
        <v>-1.35085079373054</v>
      </c>
      <c r="P14">
        <v>1</v>
      </c>
      <c r="Q14">
        <v>0</v>
      </c>
      <c r="R14">
        <f t="shared" si="1"/>
        <v>333.15</v>
      </c>
      <c r="U14">
        <v>0.001987</v>
      </c>
      <c r="V14">
        <f t="shared" si="2"/>
        <v>0.23</v>
      </c>
      <c r="W14">
        <f t="shared" si="3"/>
        <v>1.77</v>
      </c>
      <c r="X14">
        <f t="shared" si="4"/>
        <v>7.69565217391304</v>
      </c>
      <c r="Y14">
        <v>273.15</v>
      </c>
    </row>
    <row r="15" spans="1:25">
      <c r="A15" t="s">
        <v>59</v>
      </c>
      <c r="B15" t="s">
        <v>23</v>
      </c>
      <c r="C15" t="s">
        <v>24</v>
      </c>
      <c r="D15" t="s">
        <v>33</v>
      </c>
      <c r="E15" t="s">
        <v>34</v>
      </c>
      <c r="F15" t="s">
        <v>35</v>
      </c>
      <c r="G15" t="s">
        <v>28</v>
      </c>
      <c r="H15" t="s">
        <v>29</v>
      </c>
      <c r="I15" t="s">
        <v>36</v>
      </c>
      <c r="J15" t="s">
        <v>37</v>
      </c>
      <c r="L15">
        <v>60</v>
      </c>
      <c r="M15">
        <v>50</v>
      </c>
      <c r="N15">
        <v>0.4</v>
      </c>
      <c r="O15">
        <f t="shared" si="0"/>
        <v>-0.56088495970755</v>
      </c>
      <c r="P15">
        <v>1</v>
      </c>
      <c r="Q15">
        <v>0</v>
      </c>
      <c r="R15">
        <f t="shared" si="1"/>
        <v>333.15</v>
      </c>
      <c r="U15">
        <v>0.001987</v>
      </c>
      <c r="V15">
        <f t="shared" si="2"/>
        <v>0.6</v>
      </c>
      <c r="W15">
        <f t="shared" si="3"/>
        <v>1.4</v>
      </c>
      <c r="X15">
        <f t="shared" si="4"/>
        <v>2.33333333333333</v>
      </c>
      <c r="Y15">
        <v>273.15</v>
      </c>
    </row>
    <row r="16" spans="1:25">
      <c r="A16" t="s">
        <v>60</v>
      </c>
      <c r="B16" t="s">
        <v>23</v>
      </c>
      <c r="C16" t="s">
        <v>24</v>
      </c>
      <c r="D16" t="s">
        <v>39</v>
      </c>
      <c r="E16" t="s">
        <v>40</v>
      </c>
      <c r="F16" t="s">
        <v>41</v>
      </c>
      <c r="G16" t="s">
        <v>28</v>
      </c>
      <c r="H16" t="s">
        <v>29</v>
      </c>
      <c r="I16" t="s">
        <v>42</v>
      </c>
      <c r="J16" t="s">
        <v>43</v>
      </c>
      <c r="L16">
        <v>60</v>
      </c>
      <c r="M16">
        <v>50</v>
      </c>
      <c r="N16">
        <v>0.4</v>
      </c>
      <c r="O16">
        <f t="shared" si="0"/>
        <v>-0.56088495970755</v>
      </c>
      <c r="P16">
        <v>1</v>
      </c>
      <c r="Q16">
        <v>0</v>
      </c>
      <c r="R16">
        <f t="shared" si="1"/>
        <v>333.15</v>
      </c>
      <c r="U16">
        <v>0.001987</v>
      </c>
      <c r="V16">
        <f t="shared" si="2"/>
        <v>0.6</v>
      </c>
      <c r="W16">
        <f t="shared" si="3"/>
        <v>1.4</v>
      </c>
      <c r="X16">
        <f t="shared" si="4"/>
        <v>2.33333333333333</v>
      </c>
      <c r="Y16">
        <v>273.15</v>
      </c>
    </row>
    <row r="17" spans="1:25">
      <c r="A17" t="s">
        <v>61</v>
      </c>
      <c r="B17" t="s">
        <v>23</v>
      </c>
      <c r="C17" t="s">
        <v>24</v>
      </c>
      <c r="D17" t="s">
        <v>45</v>
      </c>
      <c r="E17" t="s">
        <v>46</v>
      </c>
      <c r="F17" t="s">
        <v>47</v>
      </c>
      <c r="G17" t="s">
        <v>28</v>
      </c>
      <c r="H17" t="s">
        <v>29</v>
      </c>
      <c r="I17" t="s">
        <v>48</v>
      </c>
      <c r="J17" t="s">
        <v>49</v>
      </c>
      <c r="L17">
        <v>60</v>
      </c>
      <c r="M17">
        <v>50</v>
      </c>
      <c r="N17">
        <v>0.53</v>
      </c>
      <c r="O17">
        <f t="shared" si="0"/>
        <v>-0.781315661644339</v>
      </c>
      <c r="P17">
        <v>1</v>
      </c>
      <c r="Q17">
        <v>0</v>
      </c>
      <c r="R17">
        <f t="shared" si="1"/>
        <v>333.15</v>
      </c>
      <c r="U17">
        <v>0.001987</v>
      </c>
      <c r="V17">
        <f t="shared" si="2"/>
        <v>0.47</v>
      </c>
      <c r="W17">
        <f t="shared" si="3"/>
        <v>1.53</v>
      </c>
      <c r="X17">
        <f t="shared" si="4"/>
        <v>3.25531914893617</v>
      </c>
      <c r="Y17">
        <v>273.15</v>
      </c>
    </row>
    <row r="18" spans="1:25">
      <c r="A18" t="s">
        <v>62</v>
      </c>
      <c r="B18" t="s">
        <v>23</v>
      </c>
      <c r="C18" t="s">
        <v>24</v>
      </c>
      <c r="D18" t="s">
        <v>25</v>
      </c>
      <c r="E18" t="s">
        <v>26</v>
      </c>
      <c r="F18" t="s">
        <v>27</v>
      </c>
      <c r="G18" t="s">
        <v>28</v>
      </c>
      <c r="H18" t="s">
        <v>29</v>
      </c>
      <c r="I18" t="s">
        <v>30</v>
      </c>
      <c r="J18" t="s">
        <v>31</v>
      </c>
      <c r="L18">
        <v>60</v>
      </c>
      <c r="M18">
        <v>70</v>
      </c>
      <c r="N18">
        <v>0.78</v>
      </c>
      <c r="O18">
        <f t="shared" si="0"/>
        <v>-1.38400589773321</v>
      </c>
      <c r="P18">
        <v>1</v>
      </c>
      <c r="Q18">
        <v>0</v>
      </c>
      <c r="R18">
        <f t="shared" si="1"/>
        <v>333.15</v>
      </c>
      <c r="U18">
        <v>0.001987</v>
      </c>
      <c r="V18">
        <f t="shared" si="2"/>
        <v>0.22</v>
      </c>
      <c r="W18">
        <f t="shared" si="3"/>
        <v>1.78</v>
      </c>
      <c r="X18">
        <f t="shared" si="4"/>
        <v>8.09090909090909</v>
      </c>
      <c r="Y18">
        <v>273.15</v>
      </c>
    </row>
    <row r="19" spans="1:25">
      <c r="A19" t="s">
        <v>63</v>
      </c>
      <c r="B19" t="s">
        <v>23</v>
      </c>
      <c r="C19" t="s">
        <v>24</v>
      </c>
      <c r="D19" t="s">
        <v>33</v>
      </c>
      <c r="E19" t="s">
        <v>34</v>
      </c>
      <c r="F19" t="s">
        <v>35</v>
      </c>
      <c r="G19" t="s">
        <v>28</v>
      </c>
      <c r="H19" t="s">
        <v>29</v>
      </c>
      <c r="I19" t="s">
        <v>36</v>
      </c>
      <c r="J19" t="s">
        <v>37</v>
      </c>
      <c r="L19">
        <v>60</v>
      </c>
      <c r="M19">
        <v>70</v>
      </c>
      <c r="N19">
        <v>0.41</v>
      </c>
      <c r="O19">
        <f t="shared" si="0"/>
        <v>-0.576722295230043</v>
      </c>
      <c r="P19">
        <v>1</v>
      </c>
      <c r="Q19">
        <v>0</v>
      </c>
      <c r="R19">
        <f t="shared" si="1"/>
        <v>333.15</v>
      </c>
      <c r="U19">
        <v>0.001987</v>
      </c>
      <c r="V19">
        <f t="shared" si="2"/>
        <v>0.59</v>
      </c>
      <c r="W19">
        <f t="shared" si="3"/>
        <v>1.41</v>
      </c>
      <c r="X19">
        <f t="shared" si="4"/>
        <v>2.38983050847458</v>
      </c>
      <c r="Y19">
        <v>273.15</v>
      </c>
    </row>
    <row r="20" spans="1:25">
      <c r="A20" t="s">
        <v>64</v>
      </c>
      <c r="B20" t="s">
        <v>23</v>
      </c>
      <c r="C20" t="s">
        <v>24</v>
      </c>
      <c r="D20" t="s">
        <v>39</v>
      </c>
      <c r="E20" t="s">
        <v>40</v>
      </c>
      <c r="F20" t="s">
        <v>41</v>
      </c>
      <c r="G20" t="s">
        <v>28</v>
      </c>
      <c r="H20" t="s">
        <v>29</v>
      </c>
      <c r="I20" t="s">
        <v>42</v>
      </c>
      <c r="J20" t="s">
        <v>43</v>
      </c>
      <c r="L20">
        <v>60</v>
      </c>
      <c r="M20">
        <v>70</v>
      </c>
      <c r="N20">
        <v>0.56</v>
      </c>
      <c r="O20">
        <f t="shared" si="0"/>
        <v>-0.83783196677105</v>
      </c>
      <c r="P20">
        <v>1</v>
      </c>
      <c r="Q20">
        <v>0</v>
      </c>
      <c r="R20">
        <f t="shared" si="1"/>
        <v>333.15</v>
      </c>
      <c r="U20">
        <v>0.001987</v>
      </c>
      <c r="V20">
        <f t="shared" si="2"/>
        <v>0.44</v>
      </c>
      <c r="W20">
        <f t="shared" si="3"/>
        <v>1.56</v>
      </c>
      <c r="X20">
        <f t="shared" si="4"/>
        <v>3.54545454545455</v>
      </c>
      <c r="Y20">
        <v>273.15</v>
      </c>
    </row>
    <row r="21" spans="1:25">
      <c r="A21" t="s">
        <v>65</v>
      </c>
      <c r="B21" t="s">
        <v>23</v>
      </c>
      <c r="C21" t="s">
        <v>24</v>
      </c>
      <c r="D21" t="s">
        <v>45</v>
      </c>
      <c r="E21" t="s">
        <v>46</v>
      </c>
      <c r="F21" t="s">
        <v>47</v>
      </c>
      <c r="G21" t="s">
        <v>28</v>
      </c>
      <c r="H21" t="s">
        <v>29</v>
      </c>
      <c r="I21" t="s">
        <v>48</v>
      </c>
      <c r="J21" t="s">
        <v>49</v>
      </c>
      <c r="L21">
        <v>60</v>
      </c>
      <c r="M21">
        <v>70</v>
      </c>
      <c r="N21">
        <v>0.64</v>
      </c>
      <c r="O21">
        <f t="shared" si="0"/>
        <v>-1.00377510700688</v>
      </c>
      <c r="P21">
        <v>1</v>
      </c>
      <c r="Q21">
        <v>0</v>
      </c>
      <c r="R21">
        <f t="shared" si="1"/>
        <v>333.15</v>
      </c>
      <c r="U21">
        <v>0.001987</v>
      </c>
      <c r="V21">
        <f t="shared" si="2"/>
        <v>0.36</v>
      </c>
      <c r="W21">
        <f t="shared" si="3"/>
        <v>1.64</v>
      </c>
      <c r="X21">
        <f t="shared" si="4"/>
        <v>4.55555555555556</v>
      </c>
      <c r="Y21">
        <v>273.15</v>
      </c>
    </row>
    <row r="22" spans="1:25">
      <c r="A22" t="s">
        <v>66</v>
      </c>
      <c r="B22" t="s">
        <v>23</v>
      </c>
      <c r="C22" t="s">
        <v>24</v>
      </c>
      <c r="D22" t="s">
        <v>25</v>
      </c>
      <c r="E22" t="s">
        <v>26</v>
      </c>
      <c r="F22" t="s">
        <v>27</v>
      </c>
      <c r="G22" t="s">
        <v>28</v>
      </c>
      <c r="H22" t="s">
        <v>29</v>
      </c>
      <c r="I22" t="s">
        <v>30</v>
      </c>
      <c r="J22" t="s">
        <v>31</v>
      </c>
      <c r="L22">
        <v>60</v>
      </c>
      <c r="M22">
        <v>90</v>
      </c>
      <c r="N22">
        <v>0.79</v>
      </c>
      <c r="O22">
        <f t="shared" si="0"/>
        <v>-1.41850922807243</v>
      </c>
      <c r="P22">
        <v>1</v>
      </c>
      <c r="Q22">
        <v>0</v>
      </c>
      <c r="R22">
        <f t="shared" si="1"/>
        <v>333.15</v>
      </c>
      <c r="U22">
        <v>0.001987</v>
      </c>
      <c r="V22">
        <f t="shared" si="2"/>
        <v>0.21</v>
      </c>
      <c r="W22">
        <f t="shared" si="3"/>
        <v>1.79</v>
      </c>
      <c r="X22">
        <f t="shared" si="4"/>
        <v>8.52380952380953</v>
      </c>
      <c r="Y22">
        <v>273.15</v>
      </c>
    </row>
    <row r="23" spans="1:25">
      <c r="A23" t="s">
        <v>67</v>
      </c>
      <c r="B23" t="s">
        <v>23</v>
      </c>
      <c r="C23" t="s">
        <v>24</v>
      </c>
      <c r="D23" t="s">
        <v>33</v>
      </c>
      <c r="E23" t="s">
        <v>34</v>
      </c>
      <c r="F23" t="s">
        <v>35</v>
      </c>
      <c r="G23" t="s">
        <v>28</v>
      </c>
      <c r="H23" t="s">
        <v>29</v>
      </c>
      <c r="I23" t="s">
        <v>36</v>
      </c>
      <c r="J23" t="s">
        <v>37</v>
      </c>
      <c r="L23">
        <v>60</v>
      </c>
      <c r="M23">
        <v>90</v>
      </c>
      <c r="N23">
        <v>0.41</v>
      </c>
      <c r="O23">
        <f t="shared" si="0"/>
        <v>-0.576722295230043</v>
      </c>
      <c r="P23">
        <v>1</v>
      </c>
      <c r="Q23">
        <v>0</v>
      </c>
      <c r="R23">
        <f t="shared" si="1"/>
        <v>333.15</v>
      </c>
      <c r="U23">
        <v>0.001987</v>
      </c>
      <c r="V23">
        <f t="shared" si="2"/>
        <v>0.59</v>
      </c>
      <c r="W23">
        <f t="shared" si="3"/>
        <v>1.41</v>
      </c>
      <c r="X23">
        <f t="shared" si="4"/>
        <v>2.38983050847458</v>
      </c>
      <c r="Y23">
        <v>273.15</v>
      </c>
    </row>
    <row r="24" spans="1:25">
      <c r="A24" t="s">
        <v>68</v>
      </c>
      <c r="B24" t="s">
        <v>23</v>
      </c>
      <c r="C24" t="s">
        <v>24</v>
      </c>
      <c r="D24" t="s">
        <v>39</v>
      </c>
      <c r="E24" t="s">
        <v>40</v>
      </c>
      <c r="F24" t="s">
        <v>41</v>
      </c>
      <c r="G24" t="s">
        <v>28</v>
      </c>
      <c r="H24" t="s">
        <v>29</v>
      </c>
      <c r="I24" t="s">
        <v>42</v>
      </c>
      <c r="J24" t="s">
        <v>43</v>
      </c>
      <c r="L24">
        <v>60</v>
      </c>
      <c r="M24">
        <v>90</v>
      </c>
      <c r="N24">
        <v>0.63</v>
      </c>
      <c r="O24">
        <f t="shared" si="0"/>
        <v>-0.981589081104281</v>
      </c>
      <c r="P24">
        <v>1</v>
      </c>
      <c r="Q24">
        <v>0</v>
      </c>
      <c r="R24">
        <f t="shared" si="1"/>
        <v>333.15</v>
      </c>
      <c r="U24">
        <v>0.001987</v>
      </c>
      <c r="V24">
        <f t="shared" si="2"/>
        <v>0.37</v>
      </c>
      <c r="W24">
        <f t="shared" si="3"/>
        <v>1.63</v>
      </c>
      <c r="X24">
        <f t="shared" si="4"/>
        <v>4.40540540540541</v>
      </c>
      <c r="Y24">
        <v>273.15</v>
      </c>
    </row>
    <row r="25" spans="1:25">
      <c r="A25" t="s">
        <v>69</v>
      </c>
      <c r="B25" t="s">
        <v>23</v>
      </c>
      <c r="C25" t="s">
        <v>24</v>
      </c>
      <c r="D25" t="s">
        <v>45</v>
      </c>
      <c r="E25" t="s">
        <v>46</v>
      </c>
      <c r="F25" t="s">
        <v>47</v>
      </c>
      <c r="G25" t="s">
        <v>28</v>
      </c>
      <c r="H25" t="s">
        <v>29</v>
      </c>
      <c r="I25" t="s">
        <v>48</v>
      </c>
      <c r="J25" t="s">
        <v>49</v>
      </c>
      <c r="L25">
        <v>60</v>
      </c>
      <c r="M25">
        <v>90</v>
      </c>
      <c r="N25">
        <v>0.71</v>
      </c>
      <c r="O25">
        <f t="shared" si="0"/>
        <v>-1.17457651827258</v>
      </c>
      <c r="P25">
        <v>1</v>
      </c>
      <c r="Q25">
        <v>0</v>
      </c>
      <c r="R25">
        <f t="shared" si="1"/>
        <v>333.15</v>
      </c>
      <c r="U25">
        <v>0.001987</v>
      </c>
      <c r="V25">
        <f t="shared" si="2"/>
        <v>0.29</v>
      </c>
      <c r="W25">
        <f t="shared" si="3"/>
        <v>1.71</v>
      </c>
      <c r="X25">
        <f t="shared" si="4"/>
        <v>5.89655172413793</v>
      </c>
      <c r="Y25">
        <v>273.15</v>
      </c>
    </row>
    <row r="26" spans="1:25">
      <c r="A26" t="s">
        <v>70</v>
      </c>
      <c r="B26" t="s">
        <v>23</v>
      </c>
      <c r="C26" t="s">
        <v>24</v>
      </c>
      <c r="D26" t="s">
        <v>25</v>
      </c>
      <c r="E26" t="s">
        <v>26</v>
      </c>
      <c r="F26" t="s">
        <v>27</v>
      </c>
      <c r="G26" t="s">
        <v>28</v>
      </c>
      <c r="H26" t="s">
        <v>29</v>
      </c>
      <c r="I26" t="s">
        <v>30</v>
      </c>
      <c r="J26" t="s">
        <v>31</v>
      </c>
      <c r="L26">
        <v>60</v>
      </c>
      <c r="M26">
        <v>100</v>
      </c>
      <c r="N26">
        <v>0.77</v>
      </c>
      <c r="O26">
        <f t="shared" si="0"/>
        <v>-1.35085079373054</v>
      </c>
      <c r="P26">
        <v>1</v>
      </c>
      <c r="Q26">
        <v>0</v>
      </c>
      <c r="R26">
        <f t="shared" si="1"/>
        <v>333.15</v>
      </c>
      <c r="U26">
        <v>0.001987</v>
      </c>
      <c r="V26">
        <f t="shared" si="2"/>
        <v>0.23</v>
      </c>
      <c r="W26">
        <f t="shared" si="3"/>
        <v>1.77</v>
      </c>
      <c r="X26">
        <f t="shared" si="4"/>
        <v>7.69565217391304</v>
      </c>
      <c r="Y26">
        <v>273.15</v>
      </c>
    </row>
    <row r="27" spans="1:25">
      <c r="A27" t="s">
        <v>71</v>
      </c>
      <c r="B27" t="s">
        <v>23</v>
      </c>
      <c r="C27" t="s">
        <v>24</v>
      </c>
      <c r="D27" t="s">
        <v>33</v>
      </c>
      <c r="E27" t="s">
        <v>34</v>
      </c>
      <c r="F27" t="s">
        <v>35</v>
      </c>
      <c r="G27" t="s">
        <v>28</v>
      </c>
      <c r="H27" t="s">
        <v>29</v>
      </c>
      <c r="I27" t="s">
        <v>36</v>
      </c>
      <c r="J27" t="s">
        <v>37</v>
      </c>
      <c r="L27">
        <v>60</v>
      </c>
      <c r="M27">
        <v>100</v>
      </c>
      <c r="N27">
        <v>0.42</v>
      </c>
      <c r="O27">
        <f t="shared" si="0"/>
        <v>-0.592716527014049</v>
      </c>
      <c r="P27">
        <v>1</v>
      </c>
      <c r="Q27">
        <v>0</v>
      </c>
      <c r="R27">
        <f t="shared" si="1"/>
        <v>333.15</v>
      </c>
      <c r="U27">
        <v>0.001987</v>
      </c>
      <c r="V27">
        <f t="shared" si="2"/>
        <v>0.58</v>
      </c>
      <c r="W27">
        <f t="shared" si="3"/>
        <v>1.42</v>
      </c>
      <c r="X27">
        <f t="shared" si="4"/>
        <v>2.44827586206897</v>
      </c>
      <c r="Y27">
        <v>273.15</v>
      </c>
    </row>
    <row r="28" spans="1:25">
      <c r="A28" t="s">
        <v>72</v>
      </c>
      <c r="B28" t="s">
        <v>23</v>
      </c>
      <c r="C28" t="s">
        <v>24</v>
      </c>
      <c r="D28" t="s">
        <v>39</v>
      </c>
      <c r="E28" t="s">
        <v>40</v>
      </c>
      <c r="F28" t="s">
        <v>41</v>
      </c>
      <c r="G28" t="s">
        <v>28</v>
      </c>
      <c r="H28" t="s">
        <v>29</v>
      </c>
      <c r="I28" t="s">
        <v>42</v>
      </c>
      <c r="J28" t="s">
        <v>43</v>
      </c>
      <c r="L28">
        <v>60</v>
      </c>
      <c r="M28">
        <v>100</v>
      </c>
      <c r="N28">
        <v>0.6</v>
      </c>
      <c r="O28">
        <f t="shared" si="0"/>
        <v>-0.917683961250891</v>
      </c>
      <c r="P28">
        <v>1</v>
      </c>
      <c r="Q28">
        <v>0</v>
      </c>
      <c r="R28">
        <f t="shared" si="1"/>
        <v>333.15</v>
      </c>
      <c r="U28">
        <v>0.001987</v>
      </c>
      <c r="V28">
        <f t="shared" si="2"/>
        <v>0.4</v>
      </c>
      <c r="W28">
        <f t="shared" si="3"/>
        <v>1.6</v>
      </c>
      <c r="X28">
        <f t="shared" si="4"/>
        <v>4</v>
      </c>
      <c r="Y28">
        <v>273.15</v>
      </c>
    </row>
    <row r="29" spans="1:25">
      <c r="A29" t="s">
        <v>73</v>
      </c>
      <c r="B29" t="s">
        <v>23</v>
      </c>
      <c r="C29" t="s">
        <v>24</v>
      </c>
      <c r="D29" t="s">
        <v>45</v>
      </c>
      <c r="E29" t="s">
        <v>46</v>
      </c>
      <c r="F29" t="s">
        <v>47</v>
      </c>
      <c r="G29" t="s">
        <v>28</v>
      </c>
      <c r="H29" t="s">
        <v>29</v>
      </c>
      <c r="I29" t="s">
        <v>48</v>
      </c>
      <c r="J29" t="s">
        <v>49</v>
      </c>
      <c r="L29">
        <v>60</v>
      </c>
      <c r="M29">
        <v>100</v>
      </c>
      <c r="N29">
        <v>0.68</v>
      </c>
      <c r="O29">
        <f t="shared" si="0"/>
        <v>-1.09769566455257</v>
      </c>
      <c r="P29">
        <v>1</v>
      </c>
      <c r="Q29">
        <v>0</v>
      </c>
      <c r="R29">
        <f t="shared" si="1"/>
        <v>333.15</v>
      </c>
      <c r="U29">
        <v>0.001987</v>
      </c>
      <c r="V29">
        <f t="shared" si="2"/>
        <v>0.32</v>
      </c>
      <c r="W29">
        <f t="shared" si="3"/>
        <v>1.68</v>
      </c>
      <c r="X29">
        <f t="shared" si="4"/>
        <v>5.25</v>
      </c>
      <c r="Y29">
        <v>273.15</v>
      </c>
    </row>
    <row r="30" spans="1:25">
      <c r="A30" t="s">
        <v>74</v>
      </c>
      <c r="B30" t="s">
        <v>23</v>
      </c>
      <c r="C30" t="s">
        <v>24</v>
      </c>
      <c r="D30" t="s">
        <v>25</v>
      </c>
      <c r="E30" t="s">
        <v>26</v>
      </c>
      <c r="F30" t="s">
        <v>27</v>
      </c>
      <c r="G30" t="s">
        <v>28</v>
      </c>
      <c r="H30" t="s">
        <v>29</v>
      </c>
      <c r="I30" t="s">
        <v>30</v>
      </c>
      <c r="J30" t="s">
        <v>31</v>
      </c>
      <c r="L30">
        <v>50</v>
      </c>
      <c r="M30">
        <v>100</v>
      </c>
      <c r="N30">
        <v>0.83</v>
      </c>
      <c r="O30">
        <f t="shared" si="0"/>
        <v>-1.52580251306181</v>
      </c>
      <c r="P30">
        <v>1</v>
      </c>
      <c r="Q30">
        <v>0</v>
      </c>
      <c r="R30">
        <f t="shared" si="1"/>
        <v>323.15</v>
      </c>
      <c r="U30">
        <v>0.001987</v>
      </c>
      <c r="V30">
        <f t="shared" si="2"/>
        <v>0.17</v>
      </c>
      <c r="W30">
        <f t="shared" si="3"/>
        <v>1.83</v>
      </c>
      <c r="X30">
        <f t="shared" si="4"/>
        <v>10.7647058823529</v>
      </c>
      <c r="Y30">
        <v>273.15</v>
      </c>
    </row>
    <row r="31" spans="1:25">
      <c r="A31" t="s">
        <v>75</v>
      </c>
      <c r="B31" t="s">
        <v>23</v>
      </c>
      <c r="C31" t="s">
        <v>24</v>
      </c>
      <c r="D31" t="s">
        <v>33</v>
      </c>
      <c r="E31" t="s">
        <v>34</v>
      </c>
      <c r="F31" t="s">
        <v>35</v>
      </c>
      <c r="G31" t="s">
        <v>28</v>
      </c>
      <c r="H31" t="s">
        <v>29</v>
      </c>
      <c r="I31" t="s">
        <v>36</v>
      </c>
      <c r="J31" t="s">
        <v>37</v>
      </c>
      <c r="L31">
        <v>50</v>
      </c>
      <c r="M31">
        <v>100</v>
      </c>
      <c r="N31">
        <v>0.4</v>
      </c>
      <c r="O31">
        <f t="shared" si="0"/>
        <v>-0.544049151221656</v>
      </c>
      <c r="P31">
        <v>1</v>
      </c>
      <c r="Q31">
        <v>0</v>
      </c>
      <c r="R31">
        <f t="shared" si="1"/>
        <v>323.15</v>
      </c>
      <c r="U31">
        <v>0.001987</v>
      </c>
      <c r="V31">
        <f t="shared" si="2"/>
        <v>0.6</v>
      </c>
      <c r="W31">
        <f t="shared" si="3"/>
        <v>1.4</v>
      </c>
      <c r="X31">
        <f t="shared" si="4"/>
        <v>2.33333333333333</v>
      </c>
      <c r="Y31">
        <v>273.15</v>
      </c>
    </row>
    <row r="32" spans="1:25">
      <c r="A32" t="s">
        <v>76</v>
      </c>
      <c r="B32" t="s">
        <v>23</v>
      </c>
      <c r="C32" t="s">
        <v>24</v>
      </c>
      <c r="D32" t="s">
        <v>39</v>
      </c>
      <c r="E32" t="s">
        <v>40</v>
      </c>
      <c r="F32" t="s">
        <v>41</v>
      </c>
      <c r="G32" t="s">
        <v>28</v>
      </c>
      <c r="H32" t="s">
        <v>29</v>
      </c>
      <c r="I32" t="s">
        <v>42</v>
      </c>
      <c r="J32" t="s">
        <v>43</v>
      </c>
      <c r="L32">
        <v>50</v>
      </c>
      <c r="M32">
        <v>100</v>
      </c>
      <c r="N32">
        <v>0.76</v>
      </c>
      <c r="O32">
        <f t="shared" si="0"/>
        <v>-1.27933751593893</v>
      </c>
      <c r="P32">
        <v>1</v>
      </c>
      <c r="Q32">
        <v>0</v>
      </c>
      <c r="R32">
        <f t="shared" si="1"/>
        <v>323.15</v>
      </c>
      <c r="U32">
        <v>0.001987</v>
      </c>
      <c r="V32">
        <f t="shared" si="2"/>
        <v>0.24</v>
      </c>
      <c r="W32">
        <f t="shared" si="3"/>
        <v>1.76</v>
      </c>
      <c r="X32">
        <f t="shared" si="4"/>
        <v>7.33333333333333</v>
      </c>
      <c r="Y32">
        <v>273.15</v>
      </c>
    </row>
    <row r="33" spans="1:25">
      <c r="A33" t="s">
        <v>77</v>
      </c>
      <c r="B33" t="s">
        <v>23</v>
      </c>
      <c r="C33" t="s">
        <v>24</v>
      </c>
      <c r="D33" t="s">
        <v>45</v>
      </c>
      <c r="E33" t="s">
        <v>46</v>
      </c>
      <c r="F33" t="s">
        <v>47</v>
      </c>
      <c r="G33" t="s">
        <v>28</v>
      </c>
      <c r="H33" t="s">
        <v>29</v>
      </c>
      <c r="I33" t="s">
        <v>48</v>
      </c>
      <c r="J33" t="s">
        <v>49</v>
      </c>
      <c r="L33">
        <v>50</v>
      </c>
      <c r="M33">
        <v>100</v>
      </c>
      <c r="N33">
        <v>0.79</v>
      </c>
      <c r="O33">
        <f t="shared" si="0"/>
        <v>-1.37593053294794</v>
      </c>
      <c r="P33">
        <v>1</v>
      </c>
      <c r="Q33">
        <v>0</v>
      </c>
      <c r="R33">
        <f t="shared" si="1"/>
        <v>323.15</v>
      </c>
      <c r="U33">
        <v>0.001987</v>
      </c>
      <c r="V33">
        <f t="shared" si="2"/>
        <v>0.21</v>
      </c>
      <c r="W33">
        <f t="shared" si="3"/>
        <v>1.79</v>
      </c>
      <c r="X33">
        <f t="shared" si="4"/>
        <v>8.52380952380953</v>
      </c>
      <c r="Y33">
        <v>273.15</v>
      </c>
    </row>
    <row r="34" spans="1:25">
      <c r="A34" t="s">
        <v>78</v>
      </c>
      <c r="B34" t="s">
        <v>23</v>
      </c>
      <c r="C34" t="s">
        <v>24</v>
      </c>
      <c r="D34" t="s">
        <v>25</v>
      </c>
      <c r="E34" t="s">
        <v>26</v>
      </c>
      <c r="F34" t="s">
        <v>27</v>
      </c>
      <c r="G34" t="s">
        <v>28</v>
      </c>
      <c r="H34" t="s">
        <v>29</v>
      </c>
      <c r="I34" t="s">
        <v>30</v>
      </c>
      <c r="J34" t="s">
        <v>31</v>
      </c>
      <c r="L34">
        <v>40</v>
      </c>
      <c r="M34">
        <v>100</v>
      </c>
      <c r="N34">
        <v>0.82</v>
      </c>
      <c r="O34">
        <f t="shared" si="0"/>
        <v>-1.43961086403088</v>
      </c>
      <c r="P34">
        <v>1</v>
      </c>
      <c r="Q34">
        <v>0</v>
      </c>
      <c r="R34">
        <f t="shared" si="1"/>
        <v>313.15</v>
      </c>
      <c r="U34">
        <v>0.001987</v>
      </c>
      <c r="V34">
        <f t="shared" si="2"/>
        <v>0.18</v>
      </c>
      <c r="W34">
        <f t="shared" si="3"/>
        <v>1.82</v>
      </c>
      <c r="X34">
        <f t="shared" si="4"/>
        <v>10.1111111111111</v>
      </c>
      <c r="Y34">
        <v>273.15</v>
      </c>
    </row>
    <row r="35" spans="1:25">
      <c r="A35" t="s">
        <v>79</v>
      </c>
      <c r="B35" t="s">
        <v>23</v>
      </c>
      <c r="C35" t="s">
        <v>24</v>
      </c>
      <c r="D35" t="s">
        <v>33</v>
      </c>
      <c r="E35" t="s">
        <v>34</v>
      </c>
      <c r="F35" t="s">
        <v>35</v>
      </c>
      <c r="G35" t="s">
        <v>28</v>
      </c>
      <c r="H35" t="s">
        <v>29</v>
      </c>
      <c r="I35" t="s">
        <v>36</v>
      </c>
      <c r="J35" t="s">
        <v>37</v>
      </c>
      <c r="L35">
        <v>40</v>
      </c>
      <c r="M35">
        <v>100</v>
      </c>
      <c r="N35">
        <v>0.4</v>
      </c>
      <c r="O35">
        <f t="shared" si="0"/>
        <v>-0.527213342735762</v>
      </c>
      <c r="P35">
        <v>1</v>
      </c>
      <c r="Q35">
        <v>0</v>
      </c>
      <c r="R35">
        <f t="shared" si="1"/>
        <v>313.15</v>
      </c>
      <c r="U35">
        <v>0.001987</v>
      </c>
      <c r="V35">
        <f t="shared" si="2"/>
        <v>0.6</v>
      </c>
      <c r="W35">
        <f t="shared" si="3"/>
        <v>1.4</v>
      </c>
      <c r="X35">
        <f t="shared" si="4"/>
        <v>2.33333333333333</v>
      </c>
      <c r="Y35">
        <v>273.15</v>
      </c>
    </row>
    <row r="36" spans="1:25">
      <c r="A36" t="s">
        <v>80</v>
      </c>
      <c r="B36" t="s">
        <v>23</v>
      </c>
      <c r="C36" t="s">
        <v>24</v>
      </c>
      <c r="D36" t="s">
        <v>39</v>
      </c>
      <c r="E36" t="s">
        <v>40</v>
      </c>
      <c r="F36" t="s">
        <v>41</v>
      </c>
      <c r="G36" t="s">
        <v>28</v>
      </c>
      <c r="H36" t="s">
        <v>29</v>
      </c>
      <c r="I36" t="s">
        <v>42</v>
      </c>
      <c r="J36" t="s">
        <v>43</v>
      </c>
      <c r="L36">
        <v>40</v>
      </c>
      <c r="M36">
        <v>100</v>
      </c>
      <c r="N36">
        <v>0.79</v>
      </c>
      <c r="O36">
        <f t="shared" si="0"/>
        <v>-1.33335183782345</v>
      </c>
      <c r="P36">
        <v>1</v>
      </c>
      <c r="Q36">
        <v>0</v>
      </c>
      <c r="R36">
        <f t="shared" si="1"/>
        <v>313.15</v>
      </c>
      <c r="U36">
        <v>0.001987</v>
      </c>
      <c r="V36">
        <f t="shared" si="2"/>
        <v>0.21</v>
      </c>
      <c r="W36">
        <f t="shared" si="3"/>
        <v>1.79</v>
      </c>
      <c r="X36">
        <f t="shared" si="4"/>
        <v>8.52380952380953</v>
      </c>
      <c r="Y36">
        <v>273.15</v>
      </c>
    </row>
    <row r="37" spans="1:25">
      <c r="A37" t="s">
        <v>81</v>
      </c>
      <c r="B37" t="s">
        <v>23</v>
      </c>
      <c r="C37" t="s">
        <v>24</v>
      </c>
      <c r="D37" t="s">
        <v>45</v>
      </c>
      <c r="E37" t="s">
        <v>46</v>
      </c>
      <c r="F37" t="s">
        <v>47</v>
      </c>
      <c r="G37" t="s">
        <v>28</v>
      </c>
      <c r="H37" t="s">
        <v>29</v>
      </c>
      <c r="I37" t="s">
        <v>48</v>
      </c>
      <c r="J37" t="s">
        <v>49</v>
      </c>
      <c r="L37">
        <v>40</v>
      </c>
      <c r="M37">
        <v>100</v>
      </c>
      <c r="N37">
        <v>0.82</v>
      </c>
      <c r="O37">
        <f t="shared" si="0"/>
        <v>-1.43961086403088</v>
      </c>
      <c r="P37">
        <v>1</v>
      </c>
      <c r="Q37">
        <v>0</v>
      </c>
      <c r="R37">
        <f t="shared" si="1"/>
        <v>313.15</v>
      </c>
      <c r="U37">
        <v>0.001987</v>
      </c>
      <c r="V37">
        <f t="shared" si="2"/>
        <v>0.18</v>
      </c>
      <c r="W37">
        <f t="shared" si="3"/>
        <v>1.82</v>
      </c>
      <c r="X37">
        <f t="shared" si="4"/>
        <v>10.1111111111111</v>
      </c>
      <c r="Y37">
        <v>273.15</v>
      </c>
    </row>
    <row r="38" spans="1:25">
      <c r="A38" t="s">
        <v>82</v>
      </c>
      <c r="B38" t="s">
        <v>83</v>
      </c>
      <c r="C38" t="s">
        <v>24</v>
      </c>
      <c r="D38" t="s">
        <v>25</v>
      </c>
      <c r="E38" t="s">
        <v>26</v>
      </c>
      <c r="F38" t="s">
        <v>27</v>
      </c>
      <c r="G38" t="s">
        <v>84</v>
      </c>
      <c r="H38" t="s">
        <v>29</v>
      </c>
      <c r="I38" t="s">
        <v>30</v>
      </c>
      <c r="J38" t="s">
        <v>31</v>
      </c>
      <c r="L38">
        <v>60</v>
      </c>
      <c r="M38">
        <v>10</v>
      </c>
      <c r="N38">
        <v>0.79</v>
      </c>
      <c r="O38">
        <f t="shared" si="0"/>
        <v>-1.41850922807243</v>
      </c>
      <c r="P38">
        <v>1</v>
      </c>
      <c r="Q38">
        <v>0</v>
      </c>
      <c r="R38">
        <f t="shared" si="1"/>
        <v>333.15</v>
      </c>
      <c r="U38">
        <v>0.001987</v>
      </c>
      <c r="V38">
        <f t="shared" si="2"/>
        <v>0.21</v>
      </c>
      <c r="W38">
        <f t="shared" si="3"/>
        <v>1.79</v>
      </c>
      <c r="X38">
        <f t="shared" si="4"/>
        <v>8.52380952380953</v>
      </c>
      <c r="Y38">
        <v>273.15</v>
      </c>
    </row>
    <row r="39" spans="1:25">
      <c r="A39" t="s">
        <v>85</v>
      </c>
      <c r="B39" t="s">
        <v>83</v>
      </c>
      <c r="C39" t="s">
        <v>24</v>
      </c>
      <c r="D39" t="s">
        <v>33</v>
      </c>
      <c r="E39" t="s">
        <v>34</v>
      </c>
      <c r="F39" t="s">
        <v>35</v>
      </c>
      <c r="G39" t="s">
        <v>84</v>
      </c>
      <c r="H39" t="s">
        <v>29</v>
      </c>
      <c r="I39" t="s">
        <v>36</v>
      </c>
      <c r="J39" t="s">
        <v>37</v>
      </c>
      <c r="L39">
        <v>60</v>
      </c>
      <c r="M39">
        <v>10</v>
      </c>
      <c r="N39">
        <v>0.39</v>
      </c>
      <c r="O39">
        <f t="shared" si="0"/>
        <v>-0.545197755227652</v>
      </c>
      <c r="P39">
        <v>1</v>
      </c>
      <c r="Q39">
        <v>0</v>
      </c>
      <c r="R39">
        <f t="shared" si="1"/>
        <v>333.15</v>
      </c>
      <c r="U39">
        <v>0.001987</v>
      </c>
      <c r="V39">
        <f t="shared" si="2"/>
        <v>0.61</v>
      </c>
      <c r="W39">
        <f t="shared" si="3"/>
        <v>1.39</v>
      </c>
      <c r="X39">
        <f t="shared" si="4"/>
        <v>2.27868852459016</v>
      </c>
      <c r="Y39">
        <v>273.15</v>
      </c>
    </row>
    <row r="40" spans="1:25">
      <c r="A40" t="s">
        <v>86</v>
      </c>
      <c r="B40" t="s">
        <v>83</v>
      </c>
      <c r="C40" t="s">
        <v>24</v>
      </c>
      <c r="D40" t="s">
        <v>39</v>
      </c>
      <c r="E40" t="s">
        <v>40</v>
      </c>
      <c r="F40" t="s">
        <v>41</v>
      </c>
      <c r="G40" t="s">
        <v>84</v>
      </c>
      <c r="H40" t="s">
        <v>29</v>
      </c>
      <c r="I40" t="s">
        <v>42</v>
      </c>
      <c r="J40" t="s">
        <v>43</v>
      </c>
      <c r="L40">
        <v>60</v>
      </c>
      <c r="M40">
        <v>10</v>
      </c>
      <c r="N40">
        <v>-0.16</v>
      </c>
      <c r="O40">
        <f t="shared" si="0"/>
        <v>0.213665995841649</v>
      </c>
      <c r="P40">
        <v>1</v>
      </c>
      <c r="Q40">
        <v>0</v>
      </c>
      <c r="R40">
        <f t="shared" si="1"/>
        <v>333.15</v>
      </c>
      <c r="U40">
        <v>0.001987</v>
      </c>
      <c r="V40">
        <f t="shared" si="2"/>
        <v>1.16</v>
      </c>
      <c r="W40">
        <f t="shared" si="3"/>
        <v>0.84</v>
      </c>
      <c r="X40">
        <f t="shared" si="4"/>
        <v>0.724137931034483</v>
      </c>
      <c r="Y40">
        <v>273.15</v>
      </c>
    </row>
    <row r="41" spans="1:25">
      <c r="A41" t="s">
        <v>87</v>
      </c>
      <c r="B41" t="s">
        <v>83</v>
      </c>
      <c r="C41" t="s">
        <v>24</v>
      </c>
      <c r="D41" t="s">
        <v>45</v>
      </c>
      <c r="E41" t="s">
        <v>46</v>
      </c>
      <c r="F41" t="s">
        <v>47</v>
      </c>
      <c r="G41" t="s">
        <v>84</v>
      </c>
      <c r="H41" t="s">
        <v>29</v>
      </c>
      <c r="I41" t="s">
        <v>48</v>
      </c>
      <c r="J41" t="s">
        <v>49</v>
      </c>
      <c r="L41">
        <v>60</v>
      </c>
      <c r="M41">
        <v>10</v>
      </c>
      <c r="N41">
        <v>0.05</v>
      </c>
      <c r="O41">
        <f t="shared" si="0"/>
        <v>-0.0662521519816801</v>
      </c>
      <c r="P41">
        <v>1</v>
      </c>
      <c r="Q41">
        <v>0</v>
      </c>
      <c r="R41">
        <f t="shared" si="1"/>
        <v>333.15</v>
      </c>
      <c r="U41">
        <v>0.001987</v>
      </c>
      <c r="V41">
        <f t="shared" si="2"/>
        <v>0.95</v>
      </c>
      <c r="W41">
        <f t="shared" si="3"/>
        <v>1.05</v>
      </c>
      <c r="X41">
        <f t="shared" si="4"/>
        <v>1.10526315789474</v>
      </c>
      <c r="Y41">
        <v>273.15</v>
      </c>
    </row>
    <row r="42" spans="1:25">
      <c r="A42" t="s">
        <v>88</v>
      </c>
      <c r="B42" t="s">
        <v>83</v>
      </c>
      <c r="C42" t="s">
        <v>24</v>
      </c>
      <c r="D42" t="s">
        <v>25</v>
      </c>
      <c r="E42" t="s">
        <v>26</v>
      </c>
      <c r="F42" t="s">
        <v>27</v>
      </c>
      <c r="G42" t="s">
        <v>84</v>
      </c>
      <c r="H42" t="s">
        <v>29</v>
      </c>
      <c r="I42" t="s">
        <v>30</v>
      </c>
      <c r="J42" t="s">
        <v>31</v>
      </c>
      <c r="L42">
        <v>60</v>
      </c>
      <c r="M42">
        <v>30</v>
      </c>
      <c r="N42">
        <v>0.8</v>
      </c>
      <c r="O42">
        <f t="shared" si="0"/>
        <v>-1.45449466609591</v>
      </c>
      <c r="P42">
        <v>1</v>
      </c>
      <c r="Q42">
        <v>0</v>
      </c>
      <c r="R42">
        <f t="shared" si="1"/>
        <v>333.15</v>
      </c>
      <c r="U42">
        <v>0.001987</v>
      </c>
      <c r="V42">
        <f t="shared" si="2"/>
        <v>0.2</v>
      </c>
      <c r="W42">
        <f t="shared" si="3"/>
        <v>1.8</v>
      </c>
      <c r="X42">
        <f t="shared" si="4"/>
        <v>9</v>
      </c>
      <c r="Y42">
        <v>273.15</v>
      </c>
    </row>
    <row r="43" spans="1:25">
      <c r="A43" t="s">
        <v>89</v>
      </c>
      <c r="B43" t="s">
        <v>83</v>
      </c>
      <c r="C43" t="s">
        <v>24</v>
      </c>
      <c r="D43" t="s">
        <v>33</v>
      </c>
      <c r="E43" t="s">
        <v>34</v>
      </c>
      <c r="F43" t="s">
        <v>35</v>
      </c>
      <c r="G43" t="s">
        <v>84</v>
      </c>
      <c r="H43" t="s">
        <v>29</v>
      </c>
      <c r="I43" t="s">
        <v>36</v>
      </c>
      <c r="J43" t="s">
        <v>37</v>
      </c>
      <c r="L43">
        <v>60</v>
      </c>
      <c r="M43">
        <v>30</v>
      </c>
      <c r="N43">
        <v>0.38</v>
      </c>
      <c r="O43">
        <f t="shared" si="0"/>
        <v>-0.52965421298188</v>
      </c>
      <c r="P43">
        <v>1</v>
      </c>
      <c r="Q43">
        <v>0</v>
      </c>
      <c r="R43">
        <f t="shared" si="1"/>
        <v>333.15</v>
      </c>
      <c r="U43">
        <v>0.001987</v>
      </c>
      <c r="V43">
        <f t="shared" si="2"/>
        <v>0.62</v>
      </c>
      <c r="W43">
        <f t="shared" si="3"/>
        <v>1.38</v>
      </c>
      <c r="X43">
        <f t="shared" si="4"/>
        <v>2.2258064516129</v>
      </c>
      <c r="Y43">
        <v>273.15</v>
      </c>
    </row>
    <row r="44" spans="1:25">
      <c r="A44" t="s">
        <v>90</v>
      </c>
      <c r="B44" t="s">
        <v>83</v>
      </c>
      <c r="C44" t="s">
        <v>24</v>
      </c>
      <c r="D44" t="s">
        <v>39</v>
      </c>
      <c r="E44" t="s">
        <v>40</v>
      </c>
      <c r="F44" t="s">
        <v>41</v>
      </c>
      <c r="G44" t="s">
        <v>84</v>
      </c>
      <c r="H44" t="s">
        <v>29</v>
      </c>
      <c r="I44" t="s">
        <v>42</v>
      </c>
      <c r="J44" t="s">
        <v>43</v>
      </c>
      <c r="L44">
        <v>60</v>
      </c>
      <c r="M44">
        <v>30</v>
      </c>
      <c r="N44">
        <v>0.32</v>
      </c>
      <c r="O44">
        <f t="shared" si="0"/>
        <v>-0.439080242969566</v>
      </c>
      <c r="P44">
        <v>1</v>
      </c>
      <c r="Q44">
        <v>0</v>
      </c>
      <c r="R44">
        <f t="shared" si="1"/>
        <v>333.15</v>
      </c>
      <c r="U44">
        <v>0.001987</v>
      </c>
      <c r="V44">
        <f t="shared" si="2"/>
        <v>0.68</v>
      </c>
      <c r="W44">
        <f t="shared" si="3"/>
        <v>1.32</v>
      </c>
      <c r="X44">
        <f t="shared" si="4"/>
        <v>1.94117647058824</v>
      </c>
      <c r="Y44">
        <v>273.15</v>
      </c>
    </row>
    <row r="45" spans="1:25">
      <c r="A45" t="s">
        <v>91</v>
      </c>
      <c r="B45" t="s">
        <v>83</v>
      </c>
      <c r="C45" t="s">
        <v>24</v>
      </c>
      <c r="D45" t="s">
        <v>45</v>
      </c>
      <c r="E45" t="s">
        <v>46</v>
      </c>
      <c r="F45" t="s">
        <v>47</v>
      </c>
      <c r="G45" t="s">
        <v>84</v>
      </c>
      <c r="H45" t="s">
        <v>29</v>
      </c>
      <c r="I45" t="s">
        <v>48</v>
      </c>
      <c r="J45" t="s">
        <v>49</v>
      </c>
      <c r="L45">
        <v>60</v>
      </c>
      <c r="M45">
        <v>30</v>
      </c>
      <c r="N45">
        <v>0.5</v>
      </c>
      <c r="O45">
        <f t="shared" si="0"/>
        <v>-0.727247333047954</v>
      </c>
      <c r="P45">
        <v>1</v>
      </c>
      <c r="Q45">
        <v>0</v>
      </c>
      <c r="R45">
        <f t="shared" si="1"/>
        <v>333.15</v>
      </c>
      <c r="U45">
        <v>0.001987</v>
      </c>
      <c r="V45">
        <f t="shared" si="2"/>
        <v>0.5</v>
      </c>
      <c r="W45">
        <f t="shared" si="3"/>
        <v>1.5</v>
      </c>
      <c r="X45">
        <f t="shared" si="4"/>
        <v>3</v>
      </c>
      <c r="Y45">
        <v>273.15</v>
      </c>
    </row>
    <row r="46" spans="1:25">
      <c r="A46" t="s">
        <v>92</v>
      </c>
      <c r="B46" t="s">
        <v>83</v>
      </c>
      <c r="C46" t="s">
        <v>24</v>
      </c>
      <c r="D46" t="s">
        <v>25</v>
      </c>
      <c r="E46" t="s">
        <v>26</v>
      </c>
      <c r="F46" t="s">
        <v>27</v>
      </c>
      <c r="G46" t="s">
        <v>84</v>
      </c>
      <c r="H46" t="s">
        <v>29</v>
      </c>
      <c r="I46" t="s">
        <v>30</v>
      </c>
      <c r="J46" t="s">
        <v>31</v>
      </c>
      <c r="L46">
        <v>60</v>
      </c>
      <c r="M46">
        <v>50</v>
      </c>
      <c r="N46">
        <v>0.83</v>
      </c>
      <c r="O46">
        <f t="shared" si="0"/>
        <v>-1.57301905377237</v>
      </c>
      <c r="P46">
        <v>1</v>
      </c>
      <c r="Q46">
        <v>0</v>
      </c>
      <c r="R46">
        <f t="shared" si="1"/>
        <v>333.15</v>
      </c>
      <c r="U46">
        <v>0.001987</v>
      </c>
      <c r="V46">
        <f t="shared" si="2"/>
        <v>0.17</v>
      </c>
      <c r="W46">
        <f t="shared" si="3"/>
        <v>1.83</v>
      </c>
      <c r="X46">
        <f t="shared" si="4"/>
        <v>10.7647058823529</v>
      </c>
      <c r="Y46">
        <v>273.15</v>
      </c>
    </row>
    <row r="47" spans="1:25">
      <c r="A47" t="s">
        <v>93</v>
      </c>
      <c r="B47" t="s">
        <v>83</v>
      </c>
      <c r="C47" t="s">
        <v>24</v>
      </c>
      <c r="D47" t="s">
        <v>33</v>
      </c>
      <c r="E47" t="s">
        <v>34</v>
      </c>
      <c r="F47" t="s">
        <v>35</v>
      </c>
      <c r="G47" t="s">
        <v>84</v>
      </c>
      <c r="H47" t="s">
        <v>29</v>
      </c>
      <c r="I47" t="s">
        <v>36</v>
      </c>
      <c r="J47" t="s">
        <v>37</v>
      </c>
      <c r="L47">
        <v>60</v>
      </c>
      <c r="M47">
        <v>50</v>
      </c>
      <c r="N47">
        <v>0.34</v>
      </c>
      <c r="O47">
        <f t="shared" si="0"/>
        <v>-0.468796590018467</v>
      </c>
      <c r="P47">
        <v>1</v>
      </c>
      <c r="Q47">
        <v>0</v>
      </c>
      <c r="R47">
        <f t="shared" si="1"/>
        <v>333.15</v>
      </c>
      <c r="U47">
        <v>0.001987</v>
      </c>
      <c r="V47">
        <f t="shared" si="2"/>
        <v>0.66</v>
      </c>
      <c r="W47">
        <f t="shared" si="3"/>
        <v>1.34</v>
      </c>
      <c r="X47">
        <f t="shared" si="4"/>
        <v>2.03030303030303</v>
      </c>
      <c r="Y47">
        <v>273.15</v>
      </c>
    </row>
    <row r="48" spans="1:25">
      <c r="A48" t="s">
        <v>94</v>
      </c>
      <c r="B48" t="s">
        <v>83</v>
      </c>
      <c r="C48" t="s">
        <v>24</v>
      </c>
      <c r="D48" t="s">
        <v>39</v>
      </c>
      <c r="E48" t="s">
        <v>40</v>
      </c>
      <c r="F48" t="s">
        <v>41</v>
      </c>
      <c r="G48" t="s">
        <v>84</v>
      </c>
      <c r="H48" t="s">
        <v>29</v>
      </c>
      <c r="I48" t="s">
        <v>42</v>
      </c>
      <c r="J48" t="s">
        <v>43</v>
      </c>
      <c r="L48">
        <v>60</v>
      </c>
      <c r="M48">
        <v>50</v>
      </c>
      <c r="N48">
        <v>0.62</v>
      </c>
      <c r="O48">
        <f t="shared" si="0"/>
        <v>-0.959861858370039</v>
      </c>
      <c r="P48">
        <v>1</v>
      </c>
      <c r="Q48">
        <v>0</v>
      </c>
      <c r="R48">
        <f t="shared" si="1"/>
        <v>333.15</v>
      </c>
      <c r="U48">
        <v>0.001987</v>
      </c>
      <c r="V48">
        <f t="shared" si="2"/>
        <v>0.38</v>
      </c>
      <c r="W48">
        <f t="shared" si="3"/>
        <v>1.62</v>
      </c>
      <c r="X48">
        <f t="shared" si="4"/>
        <v>4.26315789473684</v>
      </c>
      <c r="Y48">
        <v>273.15</v>
      </c>
    </row>
    <row r="49" spans="1:25">
      <c r="A49" t="s">
        <v>95</v>
      </c>
      <c r="B49" t="s">
        <v>83</v>
      </c>
      <c r="C49" t="s">
        <v>24</v>
      </c>
      <c r="D49" t="s">
        <v>45</v>
      </c>
      <c r="E49" t="s">
        <v>46</v>
      </c>
      <c r="F49" t="s">
        <v>47</v>
      </c>
      <c r="G49" t="s">
        <v>84</v>
      </c>
      <c r="H49" t="s">
        <v>29</v>
      </c>
      <c r="I49" t="s">
        <v>48</v>
      </c>
      <c r="J49" t="s">
        <v>49</v>
      </c>
      <c r="L49">
        <v>60</v>
      </c>
      <c r="M49">
        <v>50</v>
      </c>
      <c r="N49">
        <v>0.71</v>
      </c>
      <c r="O49">
        <f t="shared" si="0"/>
        <v>-1.17457651827258</v>
      </c>
      <c r="P49">
        <v>1</v>
      </c>
      <c r="Q49">
        <v>0</v>
      </c>
      <c r="R49">
        <f t="shared" si="1"/>
        <v>333.15</v>
      </c>
      <c r="U49">
        <v>0.001987</v>
      </c>
      <c r="V49">
        <f t="shared" si="2"/>
        <v>0.29</v>
      </c>
      <c r="W49">
        <f t="shared" si="3"/>
        <v>1.71</v>
      </c>
      <c r="X49">
        <f t="shared" si="4"/>
        <v>5.89655172413793</v>
      </c>
      <c r="Y49">
        <v>273.15</v>
      </c>
    </row>
    <row r="50" spans="1:25">
      <c r="A50" t="s">
        <v>96</v>
      </c>
      <c r="B50" t="s">
        <v>83</v>
      </c>
      <c r="C50" t="s">
        <v>24</v>
      </c>
      <c r="D50" t="s">
        <v>25</v>
      </c>
      <c r="E50" t="s">
        <v>26</v>
      </c>
      <c r="F50" t="s">
        <v>27</v>
      </c>
      <c r="G50" t="s">
        <v>84</v>
      </c>
      <c r="H50" t="s">
        <v>29</v>
      </c>
      <c r="I50" t="s">
        <v>30</v>
      </c>
      <c r="J50" t="s">
        <v>31</v>
      </c>
      <c r="L50">
        <v>60</v>
      </c>
      <c r="M50">
        <v>70</v>
      </c>
      <c r="N50">
        <v>0.81</v>
      </c>
      <c r="O50">
        <f t="shared" si="0"/>
        <v>-1.49211666739308</v>
      </c>
      <c r="P50">
        <v>1</v>
      </c>
      <c r="Q50">
        <v>0</v>
      </c>
      <c r="R50">
        <f t="shared" si="1"/>
        <v>333.15</v>
      </c>
      <c r="U50">
        <v>0.001987</v>
      </c>
      <c r="V50">
        <f t="shared" si="2"/>
        <v>0.19</v>
      </c>
      <c r="W50">
        <f t="shared" si="3"/>
        <v>1.81</v>
      </c>
      <c r="X50">
        <f t="shared" si="4"/>
        <v>9.52631578947369</v>
      </c>
      <c r="Y50">
        <v>273.15</v>
      </c>
    </row>
    <row r="51" spans="1:25">
      <c r="A51" t="s">
        <v>97</v>
      </c>
      <c r="B51" t="s">
        <v>83</v>
      </c>
      <c r="C51" t="s">
        <v>24</v>
      </c>
      <c r="D51" t="s">
        <v>33</v>
      </c>
      <c r="E51" t="s">
        <v>34</v>
      </c>
      <c r="F51" t="s">
        <v>35</v>
      </c>
      <c r="G51" t="s">
        <v>84</v>
      </c>
      <c r="H51" t="s">
        <v>29</v>
      </c>
      <c r="I51" t="s">
        <v>36</v>
      </c>
      <c r="J51" t="s">
        <v>37</v>
      </c>
      <c r="L51">
        <v>60</v>
      </c>
      <c r="M51">
        <v>70</v>
      </c>
      <c r="N51">
        <v>0.36</v>
      </c>
      <c r="O51">
        <f t="shared" si="0"/>
        <v>-0.49897360393588</v>
      </c>
      <c r="P51">
        <v>1</v>
      </c>
      <c r="Q51">
        <v>0</v>
      </c>
      <c r="R51">
        <f t="shared" si="1"/>
        <v>333.15</v>
      </c>
      <c r="U51">
        <v>0.001987</v>
      </c>
      <c r="V51">
        <f t="shared" si="2"/>
        <v>0.64</v>
      </c>
      <c r="W51">
        <f t="shared" si="3"/>
        <v>1.36</v>
      </c>
      <c r="X51">
        <f t="shared" si="4"/>
        <v>2.125</v>
      </c>
      <c r="Y51">
        <v>273.15</v>
      </c>
    </row>
    <row r="52" spans="1:25">
      <c r="A52" t="s">
        <v>98</v>
      </c>
      <c r="B52" t="s">
        <v>83</v>
      </c>
      <c r="C52" t="s">
        <v>24</v>
      </c>
      <c r="D52" t="s">
        <v>39</v>
      </c>
      <c r="E52" t="s">
        <v>40</v>
      </c>
      <c r="F52" t="s">
        <v>41</v>
      </c>
      <c r="G52" t="s">
        <v>84</v>
      </c>
      <c r="H52" t="s">
        <v>29</v>
      </c>
      <c r="I52" t="s">
        <v>42</v>
      </c>
      <c r="J52" t="s">
        <v>43</v>
      </c>
      <c r="L52">
        <v>60</v>
      </c>
      <c r="M52">
        <v>70</v>
      </c>
      <c r="N52">
        <v>0.67</v>
      </c>
      <c r="O52">
        <f t="shared" si="0"/>
        <v>-1.07337371312962</v>
      </c>
      <c r="P52">
        <v>1</v>
      </c>
      <c r="Q52">
        <v>0</v>
      </c>
      <c r="R52">
        <f t="shared" si="1"/>
        <v>333.15</v>
      </c>
      <c r="U52">
        <v>0.001987</v>
      </c>
      <c r="V52">
        <f t="shared" si="2"/>
        <v>0.33</v>
      </c>
      <c r="W52">
        <f t="shared" si="3"/>
        <v>1.67</v>
      </c>
      <c r="X52">
        <f t="shared" si="4"/>
        <v>5.06060606060606</v>
      </c>
      <c r="Y52">
        <v>273.15</v>
      </c>
    </row>
    <row r="53" spans="1:25">
      <c r="A53" t="s">
        <v>99</v>
      </c>
      <c r="B53" t="s">
        <v>83</v>
      </c>
      <c r="C53" t="s">
        <v>24</v>
      </c>
      <c r="D53" t="s">
        <v>45</v>
      </c>
      <c r="E53" t="s">
        <v>46</v>
      </c>
      <c r="F53" t="s">
        <v>47</v>
      </c>
      <c r="G53" t="s">
        <v>84</v>
      </c>
      <c r="H53" t="s">
        <v>29</v>
      </c>
      <c r="I53" t="s">
        <v>48</v>
      </c>
      <c r="J53" t="s">
        <v>49</v>
      </c>
      <c r="L53">
        <v>60</v>
      </c>
      <c r="M53">
        <v>70</v>
      </c>
      <c r="N53">
        <v>0.71</v>
      </c>
      <c r="O53">
        <f t="shared" si="0"/>
        <v>-1.17457651827258</v>
      </c>
      <c r="P53">
        <v>1</v>
      </c>
      <c r="Q53">
        <v>0</v>
      </c>
      <c r="R53">
        <f t="shared" si="1"/>
        <v>333.15</v>
      </c>
      <c r="U53">
        <v>0.001987</v>
      </c>
      <c r="V53">
        <f t="shared" si="2"/>
        <v>0.29</v>
      </c>
      <c r="W53">
        <f t="shared" si="3"/>
        <v>1.71</v>
      </c>
      <c r="X53">
        <f t="shared" si="4"/>
        <v>5.89655172413793</v>
      </c>
      <c r="Y53">
        <v>273.15</v>
      </c>
    </row>
    <row r="54" spans="1:25">
      <c r="A54" t="s">
        <v>100</v>
      </c>
      <c r="B54" t="s">
        <v>83</v>
      </c>
      <c r="C54" t="s">
        <v>24</v>
      </c>
      <c r="D54" t="s">
        <v>25</v>
      </c>
      <c r="E54" t="s">
        <v>26</v>
      </c>
      <c r="F54" t="s">
        <v>27</v>
      </c>
      <c r="G54" t="s">
        <v>84</v>
      </c>
      <c r="H54" t="s">
        <v>29</v>
      </c>
      <c r="I54" t="s">
        <v>30</v>
      </c>
      <c r="J54" t="s">
        <v>31</v>
      </c>
      <c r="L54">
        <v>60</v>
      </c>
      <c r="M54">
        <v>90</v>
      </c>
      <c r="N54">
        <v>0.8</v>
      </c>
      <c r="O54">
        <f t="shared" si="0"/>
        <v>-1.45449466609591</v>
      </c>
      <c r="P54">
        <v>1</v>
      </c>
      <c r="Q54">
        <v>0</v>
      </c>
      <c r="R54">
        <f t="shared" si="1"/>
        <v>333.15</v>
      </c>
      <c r="U54">
        <v>0.001987</v>
      </c>
      <c r="V54">
        <f t="shared" si="2"/>
        <v>0.2</v>
      </c>
      <c r="W54">
        <f t="shared" si="3"/>
        <v>1.8</v>
      </c>
      <c r="X54">
        <f t="shared" si="4"/>
        <v>9</v>
      </c>
      <c r="Y54">
        <v>273.15</v>
      </c>
    </row>
    <row r="55" spans="1:25">
      <c r="A55" t="s">
        <v>101</v>
      </c>
      <c r="B55" t="s">
        <v>83</v>
      </c>
      <c r="C55" t="s">
        <v>24</v>
      </c>
      <c r="D55" t="s">
        <v>33</v>
      </c>
      <c r="E55" t="s">
        <v>34</v>
      </c>
      <c r="F55" t="s">
        <v>35</v>
      </c>
      <c r="G55" t="s">
        <v>84</v>
      </c>
      <c r="H55" t="s">
        <v>29</v>
      </c>
      <c r="I55" t="s">
        <v>36</v>
      </c>
      <c r="J55" t="s">
        <v>37</v>
      </c>
      <c r="L55">
        <v>60</v>
      </c>
      <c r="M55">
        <v>90</v>
      </c>
      <c r="N55">
        <v>0.34</v>
      </c>
      <c r="O55">
        <f t="shared" si="0"/>
        <v>-0.468796590018467</v>
      </c>
      <c r="P55">
        <v>1</v>
      </c>
      <c r="Q55">
        <v>0</v>
      </c>
      <c r="R55">
        <f t="shared" si="1"/>
        <v>333.15</v>
      </c>
      <c r="U55">
        <v>0.001987</v>
      </c>
      <c r="V55">
        <f t="shared" si="2"/>
        <v>0.66</v>
      </c>
      <c r="W55">
        <f t="shared" si="3"/>
        <v>1.34</v>
      </c>
      <c r="X55">
        <f t="shared" si="4"/>
        <v>2.03030303030303</v>
      </c>
      <c r="Y55">
        <v>273.15</v>
      </c>
    </row>
    <row r="56" spans="1:25">
      <c r="A56" t="s">
        <v>102</v>
      </c>
      <c r="B56" t="s">
        <v>83</v>
      </c>
      <c r="C56" t="s">
        <v>24</v>
      </c>
      <c r="D56" t="s">
        <v>39</v>
      </c>
      <c r="E56" t="s">
        <v>40</v>
      </c>
      <c r="F56" t="s">
        <v>41</v>
      </c>
      <c r="G56" t="s">
        <v>84</v>
      </c>
      <c r="H56" t="s">
        <v>29</v>
      </c>
      <c r="I56" t="s">
        <v>42</v>
      </c>
      <c r="J56" t="s">
        <v>43</v>
      </c>
      <c r="L56">
        <v>60</v>
      </c>
      <c r="M56">
        <v>90</v>
      </c>
      <c r="N56">
        <v>0.73</v>
      </c>
      <c r="O56">
        <f t="shared" si="0"/>
        <v>-1.22957754203882</v>
      </c>
      <c r="P56">
        <v>1</v>
      </c>
      <c r="Q56">
        <v>0</v>
      </c>
      <c r="R56">
        <f t="shared" si="1"/>
        <v>333.15</v>
      </c>
      <c r="U56">
        <v>0.001987</v>
      </c>
      <c r="V56">
        <f t="shared" si="2"/>
        <v>0.27</v>
      </c>
      <c r="W56">
        <f t="shared" si="3"/>
        <v>1.73</v>
      </c>
      <c r="X56">
        <f t="shared" si="4"/>
        <v>6.40740740740741</v>
      </c>
      <c r="Y56">
        <v>273.15</v>
      </c>
    </row>
    <row r="57" spans="1:25">
      <c r="A57" t="s">
        <v>103</v>
      </c>
      <c r="B57" t="s">
        <v>83</v>
      </c>
      <c r="C57" t="s">
        <v>24</v>
      </c>
      <c r="D57" t="s">
        <v>45</v>
      </c>
      <c r="E57" t="s">
        <v>46</v>
      </c>
      <c r="F57" t="s">
        <v>47</v>
      </c>
      <c r="G57" t="s">
        <v>84</v>
      </c>
      <c r="H57" t="s">
        <v>29</v>
      </c>
      <c r="I57" t="s">
        <v>48</v>
      </c>
      <c r="J57" t="s">
        <v>49</v>
      </c>
      <c r="L57">
        <v>60</v>
      </c>
      <c r="M57">
        <v>90</v>
      </c>
      <c r="N57">
        <v>0.79</v>
      </c>
      <c r="O57">
        <f t="shared" si="0"/>
        <v>-1.41850922807243</v>
      </c>
      <c r="P57">
        <v>1</v>
      </c>
      <c r="Q57">
        <v>0</v>
      </c>
      <c r="R57">
        <f t="shared" si="1"/>
        <v>333.15</v>
      </c>
      <c r="U57">
        <v>0.001987</v>
      </c>
      <c r="V57">
        <f t="shared" si="2"/>
        <v>0.21</v>
      </c>
      <c r="W57">
        <f t="shared" si="3"/>
        <v>1.79</v>
      </c>
      <c r="X57">
        <f t="shared" si="4"/>
        <v>8.52380952380953</v>
      </c>
      <c r="Y57">
        <v>273.15</v>
      </c>
    </row>
    <row r="58" spans="1:25">
      <c r="A58" t="s">
        <v>104</v>
      </c>
      <c r="B58" t="s">
        <v>83</v>
      </c>
      <c r="C58" t="s">
        <v>24</v>
      </c>
      <c r="D58" t="s">
        <v>25</v>
      </c>
      <c r="E58" t="s">
        <v>26</v>
      </c>
      <c r="F58" t="s">
        <v>27</v>
      </c>
      <c r="G58" t="s">
        <v>84</v>
      </c>
      <c r="H58" t="s">
        <v>29</v>
      </c>
      <c r="I58" t="s">
        <v>30</v>
      </c>
      <c r="J58" t="s">
        <v>31</v>
      </c>
      <c r="L58">
        <v>60</v>
      </c>
      <c r="M58">
        <v>100</v>
      </c>
      <c r="N58">
        <v>0.8</v>
      </c>
      <c r="O58">
        <f t="shared" si="0"/>
        <v>-1.45449466609591</v>
      </c>
      <c r="P58">
        <v>1</v>
      </c>
      <c r="Q58">
        <v>0</v>
      </c>
      <c r="R58">
        <f t="shared" si="1"/>
        <v>333.15</v>
      </c>
      <c r="U58">
        <v>0.001987</v>
      </c>
      <c r="V58">
        <f t="shared" si="2"/>
        <v>0.2</v>
      </c>
      <c r="W58">
        <f t="shared" si="3"/>
        <v>1.8</v>
      </c>
      <c r="X58">
        <f t="shared" si="4"/>
        <v>9</v>
      </c>
      <c r="Y58">
        <v>273.15</v>
      </c>
    </row>
    <row r="59" spans="1:25">
      <c r="A59" t="s">
        <v>105</v>
      </c>
      <c r="B59" t="s">
        <v>83</v>
      </c>
      <c r="C59" t="s">
        <v>24</v>
      </c>
      <c r="D59" t="s">
        <v>33</v>
      </c>
      <c r="E59" t="s">
        <v>34</v>
      </c>
      <c r="F59" t="s">
        <v>35</v>
      </c>
      <c r="G59" t="s">
        <v>84</v>
      </c>
      <c r="H59" t="s">
        <v>29</v>
      </c>
      <c r="I59" t="s">
        <v>36</v>
      </c>
      <c r="J59" t="s">
        <v>37</v>
      </c>
      <c r="L59">
        <v>60</v>
      </c>
      <c r="M59">
        <v>100</v>
      </c>
      <c r="N59">
        <v>0.34</v>
      </c>
      <c r="O59">
        <f t="shared" si="0"/>
        <v>-0.468796590018467</v>
      </c>
      <c r="P59">
        <v>1</v>
      </c>
      <c r="Q59">
        <v>0</v>
      </c>
      <c r="R59">
        <f t="shared" si="1"/>
        <v>333.15</v>
      </c>
      <c r="U59">
        <v>0.001987</v>
      </c>
      <c r="V59">
        <f t="shared" si="2"/>
        <v>0.66</v>
      </c>
      <c r="W59">
        <f t="shared" si="3"/>
        <v>1.34</v>
      </c>
      <c r="X59">
        <f t="shared" si="4"/>
        <v>2.03030303030303</v>
      </c>
      <c r="Y59">
        <v>273.15</v>
      </c>
    </row>
    <row r="60" spans="1:25">
      <c r="A60" t="s">
        <v>106</v>
      </c>
      <c r="B60" t="s">
        <v>83</v>
      </c>
      <c r="C60" t="s">
        <v>24</v>
      </c>
      <c r="D60" t="s">
        <v>39</v>
      </c>
      <c r="E60" t="s">
        <v>40</v>
      </c>
      <c r="F60" t="s">
        <v>41</v>
      </c>
      <c r="G60" t="s">
        <v>84</v>
      </c>
      <c r="H60" t="s">
        <v>29</v>
      </c>
      <c r="I60" t="s">
        <v>42</v>
      </c>
      <c r="J60" t="s">
        <v>43</v>
      </c>
      <c r="L60">
        <v>60</v>
      </c>
      <c r="M60">
        <v>100</v>
      </c>
      <c r="N60">
        <v>0.74</v>
      </c>
      <c r="O60">
        <f t="shared" si="0"/>
        <v>-1.25837586523614</v>
      </c>
      <c r="P60">
        <v>1</v>
      </c>
      <c r="Q60">
        <v>0</v>
      </c>
      <c r="R60">
        <f t="shared" si="1"/>
        <v>333.15</v>
      </c>
      <c r="U60">
        <v>0.001987</v>
      </c>
      <c r="V60">
        <f t="shared" si="2"/>
        <v>0.26</v>
      </c>
      <c r="W60">
        <f t="shared" si="3"/>
        <v>1.74</v>
      </c>
      <c r="X60">
        <f t="shared" si="4"/>
        <v>6.69230769230769</v>
      </c>
      <c r="Y60">
        <v>273.15</v>
      </c>
    </row>
    <row r="61" spans="1:25">
      <c r="A61" t="s">
        <v>107</v>
      </c>
      <c r="B61" t="s">
        <v>83</v>
      </c>
      <c r="C61" t="s">
        <v>24</v>
      </c>
      <c r="D61" t="s">
        <v>45</v>
      </c>
      <c r="E61" t="s">
        <v>46</v>
      </c>
      <c r="F61" t="s">
        <v>47</v>
      </c>
      <c r="G61" t="s">
        <v>84</v>
      </c>
      <c r="H61" t="s">
        <v>29</v>
      </c>
      <c r="I61" t="s">
        <v>48</v>
      </c>
      <c r="J61" t="s">
        <v>49</v>
      </c>
      <c r="L61">
        <v>60</v>
      </c>
      <c r="M61">
        <v>100</v>
      </c>
      <c r="N61">
        <v>0.8</v>
      </c>
      <c r="O61">
        <f t="shared" si="0"/>
        <v>-1.45449466609591</v>
      </c>
      <c r="P61">
        <v>1</v>
      </c>
      <c r="Q61">
        <v>0</v>
      </c>
      <c r="R61">
        <f t="shared" si="1"/>
        <v>333.15</v>
      </c>
      <c r="U61">
        <v>0.001987</v>
      </c>
      <c r="V61">
        <f t="shared" si="2"/>
        <v>0.2</v>
      </c>
      <c r="W61">
        <f t="shared" si="3"/>
        <v>1.8</v>
      </c>
      <c r="X61">
        <f t="shared" si="4"/>
        <v>9</v>
      </c>
      <c r="Y61">
        <v>273.15</v>
      </c>
    </row>
    <row r="62" spans="1:25">
      <c r="A62" t="s">
        <v>108</v>
      </c>
      <c r="B62" t="s">
        <v>109</v>
      </c>
      <c r="C62" t="s">
        <v>24</v>
      </c>
      <c r="D62" t="s">
        <v>25</v>
      </c>
      <c r="E62" t="s">
        <v>26</v>
      </c>
      <c r="F62" t="s">
        <v>27</v>
      </c>
      <c r="G62" t="s">
        <v>110</v>
      </c>
      <c r="H62" t="s">
        <v>29</v>
      </c>
      <c r="I62" t="s">
        <v>30</v>
      </c>
      <c r="J62" t="s">
        <v>31</v>
      </c>
      <c r="L62">
        <v>60</v>
      </c>
      <c r="M62">
        <v>5</v>
      </c>
      <c r="N62">
        <v>0.75</v>
      </c>
      <c r="O62">
        <f t="shared" si="0"/>
        <v>-1.2881322927555</v>
      </c>
      <c r="P62">
        <v>1</v>
      </c>
      <c r="Q62">
        <v>0</v>
      </c>
      <c r="R62">
        <f t="shared" si="1"/>
        <v>333.15</v>
      </c>
      <c r="U62">
        <v>0.001987</v>
      </c>
      <c r="V62">
        <f t="shared" si="2"/>
        <v>0.25</v>
      </c>
      <c r="W62">
        <f t="shared" si="3"/>
        <v>1.75</v>
      </c>
      <c r="X62">
        <f t="shared" si="4"/>
        <v>7</v>
      </c>
      <c r="Y62">
        <v>273.15</v>
      </c>
    </row>
    <row r="63" spans="1:25">
      <c r="A63" t="s">
        <v>111</v>
      </c>
      <c r="B63" t="s">
        <v>109</v>
      </c>
      <c r="C63" t="s">
        <v>24</v>
      </c>
      <c r="D63" t="s">
        <v>33</v>
      </c>
      <c r="E63" t="s">
        <v>34</v>
      </c>
      <c r="F63" t="s">
        <v>35</v>
      </c>
      <c r="G63" t="s">
        <v>110</v>
      </c>
      <c r="H63" t="s">
        <v>29</v>
      </c>
      <c r="I63" t="s">
        <v>36</v>
      </c>
      <c r="J63" t="s">
        <v>37</v>
      </c>
      <c r="L63">
        <v>60</v>
      </c>
      <c r="M63">
        <v>5</v>
      </c>
      <c r="N63">
        <v>0.44</v>
      </c>
      <c r="O63">
        <f t="shared" si="0"/>
        <v>-0.62520435396585</v>
      </c>
      <c r="P63">
        <v>0.88</v>
      </c>
      <c r="Q63">
        <v>0</v>
      </c>
      <c r="R63">
        <f t="shared" si="1"/>
        <v>333.15</v>
      </c>
      <c r="U63">
        <v>0.001987</v>
      </c>
      <c r="V63">
        <f t="shared" si="2"/>
        <v>0.56</v>
      </c>
      <c r="W63">
        <f t="shared" si="3"/>
        <v>1.44</v>
      </c>
      <c r="X63">
        <f t="shared" si="4"/>
        <v>2.57142857142857</v>
      </c>
      <c r="Y63">
        <v>273.15</v>
      </c>
    </row>
    <row r="64" spans="1:25">
      <c r="A64" t="s">
        <v>112</v>
      </c>
      <c r="B64" t="s">
        <v>109</v>
      </c>
      <c r="C64" t="s">
        <v>24</v>
      </c>
      <c r="D64" t="s">
        <v>39</v>
      </c>
      <c r="E64" t="s">
        <v>40</v>
      </c>
      <c r="F64" t="s">
        <v>41</v>
      </c>
      <c r="G64" t="s">
        <v>110</v>
      </c>
      <c r="H64" t="s">
        <v>29</v>
      </c>
      <c r="I64" t="s">
        <v>42</v>
      </c>
      <c r="J64" t="s">
        <v>43</v>
      </c>
      <c r="L64">
        <v>60</v>
      </c>
      <c r="M64">
        <v>5</v>
      </c>
      <c r="N64">
        <v>-0.81</v>
      </c>
      <c r="O64">
        <f t="shared" si="0"/>
        <v>1.49211666739308</v>
      </c>
      <c r="P64">
        <v>1</v>
      </c>
      <c r="Q64">
        <v>0</v>
      </c>
      <c r="R64">
        <f t="shared" si="1"/>
        <v>333.15</v>
      </c>
      <c r="U64">
        <v>0.001987</v>
      </c>
      <c r="V64">
        <f t="shared" si="2"/>
        <v>1.81</v>
      </c>
      <c r="W64">
        <f t="shared" si="3"/>
        <v>0.19</v>
      </c>
      <c r="X64">
        <f t="shared" si="4"/>
        <v>0.104972375690608</v>
      </c>
      <c r="Y64">
        <v>273.15</v>
      </c>
    </row>
    <row r="65" spans="1:25">
      <c r="A65" t="s">
        <v>113</v>
      </c>
      <c r="B65" t="s">
        <v>109</v>
      </c>
      <c r="C65" t="s">
        <v>24</v>
      </c>
      <c r="D65" t="s">
        <v>45</v>
      </c>
      <c r="E65" t="s">
        <v>46</v>
      </c>
      <c r="F65" t="s">
        <v>47</v>
      </c>
      <c r="G65" t="s">
        <v>110</v>
      </c>
      <c r="H65" t="s">
        <v>29</v>
      </c>
      <c r="I65" t="s">
        <v>48</v>
      </c>
      <c r="J65" t="s">
        <v>49</v>
      </c>
      <c r="L65">
        <v>60</v>
      </c>
      <c r="M65">
        <v>5</v>
      </c>
      <c r="N65">
        <v>-0.88</v>
      </c>
      <c r="O65">
        <f t="shared" si="0"/>
        <v>1.82143121721583</v>
      </c>
      <c r="P65">
        <v>1</v>
      </c>
      <c r="Q65">
        <v>0</v>
      </c>
      <c r="R65">
        <f t="shared" si="1"/>
        <v>333.15</v>
      </c>
      <c r="U65">
        <v>0.001987</v>
      </c>
      <c r="V65">
        <f t="shared" si="2"/>
        <v>1.88</v>
      </c>
      <c r="W65">
        <f t="shared" si="3"/>
        <v>0.12</v>
      </c>
      <c r="X65">
        <f t="shared" si="4"/>
        <v>0.0638297872340425</v>
      </c>
      <c r="Y65">
        <v>273.15</v>
      </c>
    </row>
    <row r="66" spans="1:25">
      <c r="A66" t="s">
        <v>114</v>
      </c>
      <c r="B66" t="s">
        <v>109</v>
      </c>
      <c r="C66" t="s">
        <v>24</v>
      </c>
      <c r="D66" t="s">
        <v>25</v>
      </c>
      <c r="E66" t="s">
        <v>26</v>
      </c>
      <c r="F66" t="s">
        <v>27</v>
      </c>
      <c r="G66" t="s">
        <v>110</v>
      </c>
      <c r="H66" t="s">
        <v>29</v>
      </c>
      <c r="I66" t="s">
        <v>30</v>
      </c>
      <c r="J66" t="s">
        <v>31</v>
      </c>
      <c r="L66">
        <v>60</v>
      </c>
      <c r="M66">
        <v>10</v>
      </c>
      <c r="N66">
        <v>0.73</v>
      </c>
      <c r="O66">
        <f t="shared" si="0"/>
        <v>-1.22957754203882</v>
      </c>
      <c r="P66">
        <v>1</v>
      </c>
      <c r="Q66">
        <v>0</v>
      </c>
      <c r="R66">
        <f t="shared" si="1"/>
        <v>333.15</v>
      </c>
      <c r="U66">
        <v>0.001987</v>
      </c>
      <c r="V66">
        <f t="shared" si="2"/>
        <v>0.27</v>
      </c>
      <c r="W66">
        <f t="shared" si="3"/>
        <v>1.73</v>
      </c>
      <c r="X66">
        <f t="shared" si="4"/>
        <v>6.40740740740741</v>
      </c>
      <c r="Y66">
        <v>273.15</v>
      </c>
    </row>
    <row r="67" spans="1:25">
      <c r="A67" t="s">
        <v>115</v>
      </c>
      <c r="B67" t="s">
        <v>109</v>
      </c>
      <c r="C67" t="s">
        <v>24</v>
      </c>
      <c r="D67" t="s">
        <v>33</v>
      </c>
      <c r="E67" t="s">
        <v>34</v>
      </c>
      <c r="F67" t="s">
        <v>35</v>
      </c>
      <c r="G67" t="s">
        <v>110</v>
      </c>
      <c r="H67" t="s">
        <v>29</v>
      </c>
      <c r="I67" t="s">
        <v>36</v>
      </c>
      <c r="J67" t="s">
        <v>37</v>
      </c>
      <c r="L67">
        <v>60</v>
      </c>
      <c r="M67">
        <v>10</v>
      </c>
      <c r="N67">
        <v>0.42</v>
      </c>
      <c r="O67">
        <f t="shared" ref="O67:O130" si="5">-U67*R67*LN(X67)</f>
        <v>-0.592716527014049</v>
      </c>
      <c r="P67">
        <v>0.8</v>
      </c>
      <c r="Q67">
        <v>0</v>
      </c>
      <c r="R67">
        <f t="shared" ref="R67:R130" si="6">L67+Y67</f>
        <v>333.15</v>
      </c>
      <c r="U67">
        <v>0.001987</v>
      </c>
      <c r="V67">
        <f t="shared" ref="V67:V130" si="7">1-N67</f>
        <v>0.58</v>
      </c>
      <c r="W67">
        <f t="shared" ref="W67:W130" si="8">1+N67</f>
        <v>1.42</v>
      </c>
      <c r="X67">
        <f t="shared" ref="X67:X130" si="9">W67/V67</f>
        <v>2.44827586206897</v>
      </c>
      <c r="Y67">
        <v>273.15</v>
      </c>
    </row>
    <row r="68" spans="1:25">
      <c r="A68" t="s">
        <v>116</v>
      </c>
      <c r="B68" t="s">
        <v>109</v>
      </c>
      <c r="C68" t="s">
        <v>24</v>
      </c>
      <c r="D68" t="s">
        <v>39</v>
      </c>
      <c r="E68" t="s">
        <v>40</v>
      </c>
      <c r="F68" t="s">
        <v>41</v>
      </c>
      <c r="G68" t="s">
        <v>110</v>
      </c>
      <c r="H68" t="s">
        <v>29</v>
      </c>
      <c r="I68" t="s">
        <v>42</v>
      </c>
      <c r="J68" t="s">
        <v>43</v>
      </c>
      <c r="L68">
        <v>60</v>
      </c>
      <c r="M68">
        <v>10</v>
      </c>
      <c r="N68">
        <v>-0.7</v>
      </c>
      <c r="O68">
        <f t="shared" si="5"/>
        <v>1.14825221276426</v>
      </c>
      <c r="P68">
        <v>1</v>
      </c>
      <c r="Q68">
        <v>0</v>
      </c>
      <c r="R68">
        <f t="shared" si="6"/>
        <v>333.15</v>
      </c>
      <c r="U68">
        <v>0.001987</v>
      </c>
      <c r="V68">
        <f t="shared" si="7"/>
        <v>1.7</v>
      </c>
      <c r="W68">
        <f t="shared" si="8"/>
        <v>0.3</v>
      </c>
      <c r="X68">
        <f t="shared" si="9"/>
        <v>0.176470588235294</v>
      </c>
      <c r="Y68">
        <v>273.15</v>
      </c>
    </row>
    <row r="69" spans="1:25">
      <c r="A69" t="s">
        <v>117</v>
      </c>
      <c r="B69" t="s">
        <v>109</v>
      </c>
      <c r="C69" t="s">
        <v>24</v>
      </c>
      <c r="D69" t="s">
        <v>45</v>
      </c>
      <c r="E69" t="s">
        <v>46</v>
      </c>
      <c r="F69" t="s">
        <v>47</v>
      </c>
      <c r="G69" t="s">
        <v>110</v>
      </c>
      <c r="H69" t="s">
        <v>29</v>
      </c>
      <c r="I69" t="s">
        <v>48</v>
      </c>
      <c r="J69" t="s">
        <v>49</v>
      </c>
      <c r="L69">
        <v>60</v>
      </c>
      <c r="M69">
        <v>10</v>
      </c>
      <c r="N69">
        <v>-0.81</v>
      </c>
      <c r="O69">
        <f t="shared" si="5"/>
        <v>1.49211666739308</v>
      </c>
      <c r="P69">
        <v>1</v>
      </c>
      <c r="Q69">
        <v>0</v>
      </c>
      <c r="R69">
        <f t="shared" si="6"/>
        <v>333.15</v>
      </c>
      <c r="U69">
        <v>0.001987</v>
      </c>
      <c r="V69">
        <f t="shared" si="7"/>
        <v>1.81</v>
      </c>
      <c r="W69">
        <f t="shared" si="8"/>
        <v>0.19</v>
      </c>
      <c r="X69">
        <f t="shared" si="9"/>
        <v>0.104972375690608</v>
      </c>
      <c r="Y69">
        <v>273.15</v>
      </c>
    </row>
    <row r="70" spans="1:25">
      <c r="A70" t="s">
        <v>118</v>
      </c>
      <c r="B70" t="s">
        <v>109</v>
      </c>
      <c r="C70" t="s">
        <v>24</v>
      </c>
      <c r="D70" t="s">
        <v>25</v>
      </c>
      <c r="E70" t="s">
        <v>26</v>
      </c>
      <c r="F70" t="s">
        <v>27</v>
      </c>
      <c r="G70" t="s">
        <v>110</v>
      </c>
      <c r="H70" t="s">
        <v>29</v>
      </c>
      <c r="I70" t="s">
        <v>30</v>
      </c>
      <c r="J70" t="s">
        <v>31</v>
      </c>
      <c r="L70">
        <v>60</v>
      </c>
      <c r="M70">
        <v>30</v>
      </c>
      <c r="N70">
        <v>0.74</v>
      </c>
      <c r="O70">
        <f t="shared" si="5"/>
        <v>-1.25837586523614</v>
      </c>
      <c r="P70">
        <v>1</v>
      </c>
      <c r="Q70">
        <v>0</v>
      </c>
      <c r="R70">
        <f t="shared" si="6"/>
        <v>333.15</v>
      </c>
      <c r="U70">
        <v>0.001987</v>
      </c>
      <c r="V70">
        <f t="shared" si="7"/>
        <v>0.26</v>
      </c>
      <c r="W70">
        <f t="shared" si="8"/>
        <v>1.74</v>
      </c>
      <c r="X70">
        <f t="shared" si="9"/>
        <v>6.69230769230769</v>
      </c>
      <c r="Y70">
        <v>273.15</v>
      </c>
    </row>
    <row r="71" spans="1:25">
      <c r="A71" t="s">
        <v>119</v>
      </c>
      <c r="B71" t="s">
        <v>109</v>
      </c>
      <c r="C71" t="s">
        <v>24</v>
      </c>
      <c r="D71" t="s">
        <v>33</v>
      </c>
      <c r="E71" t="s">
        <v>34</v>
      </c>
      <c r="F71" t="s">
        <v>35</v>
      </c>
      <c r="G71" t="s">
        <v>110</v>
      </c>
      <c r="H71" t="s">
        <v>29</v>
      </c>
      <c r="I71" t="s">
        <v>36</v>
      </c>
      <c r="J71" t="s">
        <v>37</v>
      </c>
      <c r="L71">
        <v>60</v>
      </c>
      <c r="M71">
        <v>30</v>
      </c>
      <c r="N71">
        <v>0.45</v>
      </c>
      <c r="O71">
        <f t="shared" si="5"/>
        <v>-0.641713165911279</v>
      </c>
      <c r="P71">
        <v>1</v>
      </c>
      <c r="Q71">
        <v>0</v>
      </c>
      <c r="R71">
        <f t="shared" si="6"/>
        <v>333.15</v>
      </c>
      <c r="U71">
        <v>0.001987</v>
      </c>
      <c r="V71">
        <f t="shared" si="7"/>
        <v>0.55</v>
      </c>
      <c r="W71">
        <f t="shared" si="8"/>
        <v>1.45</v>
      </c>
      <c r="X71">
        <f t="shared" si="9"/>
        <v>2.63636363636364</v>
      </c>
      <c r="Y71">
        <v>273.15</v>
      </c>
    </row>
    <row r="72" spans="1:25">
      <c r="A72" t="s">
        <v>120</v>
      </c>
      <c r="B72" t="s">
        <v>109</v>
      </c>
      <c r="C72" t="s">
        <v>24</v>
      </c>
      <c r="D72" t="s">
        <v>39</v>
      </c>
      <c r="E72" t="s">
        <v>40</v>
      </c>
      <c r="F72" t="s">
        <v>41</v>
      </c>
      <c r="G72" t="s">
        <v>110</v>
      </c>
      <c r="H72" t="s">
        <v>29</v>
      </c>
      <c r="I72" t="s">
        <v>42</v>
      </c>
      <c r="J72" t="s">
        <v>43</v>
      </c>
      <c r="L72">
        <v>60</v>
      </c>
      <c r="M72">
        <v>30</v>
      </c>
      <c r="N72">
        <v>-0.67</v>
      </c>
      <c r="O72">
        <f t="shared" si="5"/>
        <v>1.07337371312962</v>
      </c>
      <c r="P72">
        <v>1</v>
      </c>
      <c r="Q72">
        <v>0</v>
      </c>
      <c r="R72">
        <f t="shared" si="6"/>
        <v>333.15</v>
      </c>
      <c r="U72">
        <v>0.001987</v>
      </c>
      <c r="V72">
        <f t="shared" si="7"/>
        <v>1.67</v>
      </c>
      <c r="W72">
        <f t="shared" si="8"/>
        <v>0.33</v>
      </c>
      <c r="X72">
        <f t="shared" si="9"/>
        <v>0.197604790419162</v>
      </c>
      <c r="Y72">
        <v>273.15</v>
      </c>
    </row>
    <row r="73" spans="1:25">
      <c r="A73" t="s">
        <v>121</v>
      </c>
      <c r="B73" t="s">
        <v>109</v>
      </c>
      <c r="C73" t="s">
        <v>24</v>
      </c>
      <c r="D73" t="s">
        <v>45</v>
      </c>
      <c r="E73" t="s">
        <v>46</v>
      </c>
      <c r="F73" t="s">
        <v>47</v>
      </c>
      <c r="G73" t="s">
        <v>110</v>
      </c>
      <c r="H73" t="s">
        <v>29</v>
      </c>
      <c r="I73" t="s">
        <v>48</v>
      </c>
      <c r="J73" t="s">
        <v>49</v>
      </c>
      <c r="L73">
        <v>60</v>
      </c>
      <c r="M73">
        <v>30</v>
      </c>
      <c r="N73">
        <v>-0.7</v>
      </c>
      <c r="O73">
        <f t="shared" si="5"/>
        <v>1.14825221276426</v>
      </c>
      <c r="P73">
        <v>1</v>
      </c>
      <c r="Q73">
        <v>0</v>
      </c>
      <c r="R73">
        <f t="shared" si="6"/>
        <v>333.15</v>
      </c>
      <c r="U73">
        <v>0.001987</v>
      </c>
      <c r="V73">
        <f t="shared" si="7"/>
        <v>1.7</v>
      </c>
      <c r="W73">
        <f t="shared" si="8"/>
        <v>0.3</v>
      </c>
      <c r="X73">
        <f t="shared" si="9"/>
        <v>0.176470588235294</v>
      </c>
      <c r="Y73">
        <v>273.15</v>
      </c>
    </row>
    <row r="74" spans="1:25">
      <c r="A74" t="s">
        <v>122</v>
      </c>
      <c r="B74" t="s">
        <v>109</v>
      </c>
      <c r="C74" t="s">
        <v>24</v>
      </c>
      <c r="D74" t="s">
        <v>25</v>
      </c>
      <c r="E74" t="s">
        <v>26</v>
      </c>
      <c r="F74" t="s">
        <v>27</v>
      </c>
      <c r="G74" t="s">
        <v>110</v>
      </c>
      <c r="H74" t="s">
        <v>29</v>
      </c>
      <c r="I74" t="s">
        <v>30</v>
      </c>
      <c r="J74" t="s">
        <v>31</v>
      </c>
      <c r="L74">
        <v>60</v>
      </c>
      <c r="M74">
        <v>50</v>
      </c>
      <c r="N74">
        <v>0.76</v>
      </c>
      <c r="O74">
        <f t="shared" si="5"/>
        <v>-1.31892710331132</v>
      </c>
      <c r="P74">
        <v>1</v>
      </c>
      <c r="Q74">
        <v>0</v>
      </c>
      <c r="R74">
        <f t="shared" si="6"/>
        <v>333.15</v>
      </c>
      <c r="U74">
        <v>0.001987</v>
      </c>
      <c r="V74">
        <f t="shared" si="7"/>
        <v>0.24</v>
      </c>
      <c r="W74">
        <f t="shared" si="8"/>
        <v>1.76</v>
      </c>
      <c r="X74">
        <f t="shared" si="9"/>
        <v>7.33333333333333</v>
      </c>
      <c r="Y74">
        <v>273.15</v>
      </c>
    </row>
    <row r="75" spans="1:25">
      <c r="A75" t="s">
        <v>123</v>
      </c>
      <c r="B75" t="s">
        <v>109</v>
      </c>
      <c r="C75" t="s">
        <v>24</v>
      </c>
      <c r="D75" t="s">
        <v>33</v>
      </c>
      <c r="E75" t="s">
        <v>34</v>
      </c>
      <c r="F75" t="s">
        <v>35</v>
      </c>
      <c r="G75" t="s">
        <v>110</v>
      </c>
      <c r="H75" t="s">
        <v>29</v>
      </c>
      <c r="I75" t="s">
        <v>36</v>
      </c>
      <c r="J75" t="s">
        <v>37</v>
      </c>
      <c r="L75">
        <v>60</v>
      </c>
      <c r="M75">
        <v>50</v>
      </c>
      <c r="N75">
        <v>0.47</v>
      </c>
      <c r="O75">
        <f t="shared" si="5"/>
        <v>-0.675301552322182</v>
      </c>
      <c r="P75">
        <v>1</v>
      </c>
      <c r="Q75">
        <v>0</v>
      </c>
      <c r="R75">
        <f t="shared" si="6"/>
        <v>333.15</v>
      </c>
      <c r="U75">
        <v>0.001987</v>
      </c>
      <c r="V75">
        <f t="shared" si="7"/>
        <v>0.53</v>
      </c>
      <c r="W75">
        <f t="shared" si="8"/>
        <v>1.47</v>
      </c>
      <c r="X75">
        <f t="shared" si="9"/>
        <v>2.77358490566038</v>
      </c>
      <c r="Y75">
        <v>273.15</v>
      </c>
    </row>
    <row r="76" spans="1:25">
      <c r="A76" t="s">
        <v>124</v>
      </c>
      <c r="B76" t="s">
        <v>109</v>
      </c>
      <c r="C76" t="s">
        <v>24</v>
      </c>
      <c r="D76" t="s">
        <v>39</v>
      </c>
      <c r="E76" t="s">
        <v>40</v>
      </c>
      <c r="F76" t="s">
        <v>41</v>
      </c>
      <c r="G76" t="s">
        <v>110</v>
      </c>
      <c r="H76" t="s">
        <v>29</v>
      </c>
      <c r="I76" t="s">
        <v>42</v>
      </c>
      <c r="J76" t="s">
        <v>43</v>
      </c>
      <c r="L76">
        <v>60</v>
      </c>
      <c r="M76">
        <v>50</v>
      </c>
      <c r="N76">
        <v>-0.52</v>
      </c>
      <c r="O76">
        <f t="shared" si="5"/>
        <v>0.763038160148379</v>
      </c>
      <c r="P76">
        <v>1</v>
      </c>
      <c r="Q76">
        <v>0</v>
      </c>
      <c r="R76">
        <f t="shared" si="6"/>
        <v>333.15</v>
      </c>
      <c r="U76">
        <v>0.001987</v>
      </c>
      <c r="V76">
        <f t="shared" si="7"/>
        <v>1.52</v>
      </c>
      <c r="W76">
        <f t="shared" si="8"/>
        <v>0.48</v>
      </c>
      <c r="X76">
        <f t="shared" si="9"/>
        <v>0.315789473684211</v>
      </c>
      <c r="Y76">
        <v>273.15</v>
      </c>
    </row>
    <row r="77" spans="1:25">
      <c r="A77" t="s">
        <v>125</v>
      </c>
      <c r="B77" t="s">
        <v>109</v>
      </c>
      <c r="C77" t="s">
        <v>24</v>
      </c>
      <c r="D77" t="s">
        <v>45</v>
      </c>
      <c r="E77" t="s">
        <v>46</v>
      </c>
      <c r="F77" t="s">
        <v>47</v>
      </c>
      <c r="G77" t="s">
        <v>110</v>
      </c>
      <c r="H77" t="s">
        <v>29</v>
      </c>
      <c r="I77" t="s">
        <v>48</v>
      </c>
      <c r="J77" t="s">
        <v>49</v>
      </c>
      <c r="L77">
        <v>60</v>
      </c>
      <c r="M77">
        <v>50</v>
      </c>
      <c r="N77">
        <v>-0.53</v>
      </c>
      <c r="O77">
        <f t="shared" si="5"/>
        <v>0.781315661644339</v>
      </c>
      <c r="P77">
        <v>1</v>
      </c>
      <c r="Q77">
        <v>0</v>
      </c>
      <c r="R77">
        <f t="shared" si="6"/>
        <v>333.15</v>
      </c>
      <c r="U77">
        <v>0.001987</v>
      </c>
      <c r="V77">
        <f t="shared" si="7"/>
        <v>1.53</v>
      </c>
      <c r="W77">
        <f t="shared" si="8"/>
        <v>0.47</v>
      </c>
      <c r="X77">
        <f t="shared" si="9"/>
        <v>0.30718954248366</v>
      </c>
      <c r="Y77">
        <v>273.15</v>
      </c>
    </row>
    <row r="78" spans="1:25">
      <c r="A78" t="s">
        <v>126</v>
      </c>
      <c r="B78" t="s">
        <v>109</v>
      </c>
      <c r="C78" t="s">
        <v>24</v>
      </c>
      <c r="D78" t="s">
        <v>25</v>
      </c>
      <c r="E78" t="s">
        <v>26</v>
      </c>
      <c r="F78" t="s">
        <v>27</v>
      </c>
      <c r="G78" t="s">
        <v>110</v>
      </c>
      <c r="H78" t="s">
        <v>29</v>
      </c>
      <c r="I78" t="s">
        <v>30</v>
      </c>
      <c r="J78" t="s">
        <v>31</v>
      </c>
      <c r="L78">
        <v>60</v>
      </c>
      <c r="M78">
        <v>50</v>
      </c>
      <c r="N78">
        <v>-0.72</v>
      </c>
      <c r="O78">
        <f t="shared" si="5"/>
        <v>1.20166577469005</v>
      </c>
      <c r="P78">
        <v>1</v>
      </c>
      <c r="Q78">
        <v>0</v>
      </c>
      <c r="R78">
        <f t="shared" si="6"/>
        <v>333.15</v>
      </c>
      <c r="U78">
        <v>0.001987</v>
      </c>
      <c r="V78">
        <f t="shared" si="7"/>
        <v>1.72</v>
      </c>
      <c r="W78">
        <f t="shared" si="8"/>
        <v>0.28</v>
      </c>
      <c r="X78">
        <f t="shared" si="9"/>
        <v>0.162790697674419</v>
      </c>
      <c r="Y78">
        <v>273.15</v>
      </c>
    </row>
    <row r="79" spans="1:25">
      <c r="A79" t="s">
        <v>127</v>
      </c>
      <c r="B79" t="s">
        <v>109</v>
      </c>
      <c r="C79" t="s">
        <v>24</v>
      </c>
      <c r="D79" t="s">
        <v>33</v>
      </c>
      <c r="E79" t="s">
        <v>34</v>
      </c>
      <c r="F79" t="s">
        <v>35</v>
      </c>
      <c r="G79" t="s">
        <v>110</v>
      </c>
      <c r="H79" t="s">
        <v>29</v>
      </c>
      <c r="I79" t="s">
        <v>36</v>
      </c>
      <c r="J79" t="s">
        <v>37</v>
      </c>
      <c r="L79">
        <v>60</v>
      </c>
      <c r="M79">
        <v>50</v>
      </c>
      <c r="N79">
        <v>-0.45</v>
      </c>
      <c r="O79">
        <f t="shared" si="5"/>
        <v>0.641713165911279</v>
      </c>
      <c r="P79">
        <v>1</v>
      </c>
      <c r="Q79">
        <v>0</v>
      </c>
      <c r="R79">
        <f t="shared" si="6"/>
        <v>333.15</v>
      </c>
      <c r="U79">
        <v>0.001987</v>
      </c>
      <c r="V79">
        <f t="shared" si="7"/>
        <v>1.45</v>
      </c>
      <c r="W79">
        <f t="shared" si="8"/>
        <v>0.55</v>
      </c>
      <c r="X79">
        <f t="shared" si="9"/>
        <v>0.379310344827586</v>
      </c>
      <c r="Y79">
        <v>273.15</v>
      </c>
    </row>
    <row r="80" spans="1:25">
      <c r="A80" t="s">
        <v>128</v>
      </c>
      <c r="B80" t="s">
        <v>109</v>
      </c>
      <c r="C80" t="s">
        <v>24</v>
      </c>
      <c r="D80" t="s">
        <v>39</v>
      </c>
      <c r="E80" t="s">
        <v>40</v>
      </c>
      <c r="F80" t="s">
        <v>41</v>
      </c>
      <c r="G80" t="s">
        <v>110</v>
      </c>
      <c r="H80" t="s">
        <v>29</v>
      </c>
      <c r="I80" t="s">
        <v>42</v>
      </c>
      <c r="J80" t="s">
        <v>43</v>
      </c>
      <c r="L80">
        <v>60</v>
      </c>
      <c r="M80">
        <v>50</v>
      </c>
      <c r="N80">
        <v>0.59</v>
      </c>
      <c r="O80">
        <f t="shared" si="5"/>
        <v>-0.897187926181947</v>
      </c>
      <c r="P80">
        <v>1</v>
      </c>
      <c r="Q80">
        <v>0</v>
      </c>
      <c r="R80">
        <f t="shared" si="6"/>
        <v>333.15</v>
      </c>
      <c r="U80">
        <v>0.001987</v>
      </c>
      <c r="V80">
        <f t="shared" si="7"/>
        <v>0.41</v>
      </c>
      <c r="W80">
        <f t="shared" si="8"/>
        <v>1.59</v>
      </c>
      <c r="X80">
        <f t="shared" si="9"/>
        <v>3.8780487804878</v>
      </c>
      <c r="Y80">
        <v>273.15</v>
      </c>
    </row>
    <row r="81" spans="1:25">
      <c r="A81" t="s">
        <v>129</v>
      </c>
      <c r="B81" t="s">
        <v>109</v>
      </c>
      <c r="C81" t="s">
        <v>24</v>
      </c>
      <c r="D81" t="s">
        <v>45</v>
      </c>
      <c r="E81" t="s">
        <v>46</v>
      </c>
      <c r="F81" t="s">
        <v>47</v>
      </c>
      <c r="G81" t="s">
        <v>110</v>
      </c>
      <c r="H81" t="s">
        <v>29</v>
      </c>
      <c r="I81" t="s">
        <v>48</v>
      </c>
      <c r="J81" t="s">
        <v>49</v>
      </c>
      <c r="L81">
        <v>60</v>
      </c>
      <c r="M81">
        <v>50</v>
      </c>
      <c r="N81">
        <v>0.46</v>
      </c>
      <c r="O81">
        <f t="shared" si="5"/>
        <v>-0.658409361176668</v>
      </c>
      <c r="P81">
        <v>1</v>
      </c>
      <c r="Q81">
        <v>0</v>
      </c>
      <c r="R81">
        <f t="shared" si="6"/>
        <v>333.15</v>
      </c>
      <c r="U81">
        <v>0.001987</v>
      </c>
      <c r="V81">
        <f t="shared" si="7"/>
        <v>0.54</v>
      </c>
      <c r="W81">
        <f t="shared" si="8"/>
        <v>1.46</v>
      </c>
      <c r="X81">
        <f t="shared" si="9"/>
        <v>2.7037037037037</v>
      </c>
      <c r="Y81">
        <v>273.15</v>
      </c>
    </row>
    <row r="82" spans="1:25">
      <c r="A82" t="s">
        <v>130</v>
      </c>
      <c r="B82" t="s">
        <v>109</v>
      </c>
      <c r="C82" t="s">
        <v>24</v>
      </c>
      <c r="D82" t="s">
        <v>25</v>
      </c>
      <c r="E82" t="s">
        <v>26</v>
      </c>
      <c r="F82" t="s">
        <v>27</v>
      </c>
      <c r="G82" t="s">
        <v>110</v>
      </c>
      <c r="H82" t="s">
        <v>29</v>
      </c>
      <c r="I82" t="s">
        <v>30</v>
      </c>
      <c r="J82" t="s">
        <v>31</v>
      </c>
      <c r="L82">
        <v>60</v>
      </c>
      <c r="M82">
        <v>70</v>
      </c>
      <c r="N82">
        <v>0.74</v>
      </c>
      <c r="O82">
        <f t="shared" si="5"/>
        <v>-1.25837586523614</v>
      </c>
      <c r="P82">
        <v>1</v>
      </c>
      <c r="Q82">
        <v>0</v>
      </c>
      <c r="R82">
        <f t="shared" si="6"/>
        <v>333.15</v>
      </c>
      <c r="U82">
        <v>0.001987</v>
      </c>
      <c r="V82">
        <f t="shared" si="7"/>
        <v>0.26</v>
      </c>
      <c r="W82">
        <f t="shared" si="8"/>
        <v>1.74</v>
      </c>
      <c r="X82">
        <f t="shared" si="9"/>
        <v>6.69230769230769</v>
      </c>
      <c r="Y82">
        <v>273.15</v>
      </c>
    </row>
    <row r="83" spans="1:25">
      <c r="A83" t="s">
        <v>131</v>
      </c>
      <c r="B83" t="s">
        <v>109</v>
      </c>
      <c r="C83" t="s">
        <v>24</v>
      </c>
      <c r="D83" t="s">
        <v>33</v>
      </c>
      <c r="E83" t="s">
        <v>34</v>
      </c>
      <c r="F83" t="s">
        <v>35</v>
      </c>
      <c r="G83" t="s">
        <v>110</v>
      </c>
      <c r="H83" t="s">
        <v>29</v>
      </c>
      <c r="I83" t="s">
        <v>36</v>
      </c>
      <c r="J83" t="s">
        <v>37</v>
      </c>
      <c r="L83">
        <v>60</v>
      </c>
      <c r="M83">
        <v>70</v>
      </c>
      <c r="N83">
        <v>0.45</v>
      </c>
      <c r="O83">
        <f t="shared" si="5"/>
        <v>-0.641713165911279</v>
      </c>
      <c r="P83">
        <v>1</v>
      </c>
      <c r="Q83">
        <v>0</v>
      </c>
      <c r="R83">
        <f t="shared" si="6"/>
        <v>333.15</v>
      </c>
      <c r="U83">
        <v>0.001987</v>
      </c>
      <c r="V83">
        <f t="shared" si="7"/>
        <v>0.55</v>
      </c>
      <c r="W83">
        <f t="shared" si="8"/>
        <v>1.45</v>
      </c>
      <c r="X83">
        <f t="shared" si="9"/>
        <v>2.63636363636364</v>
      </c>
      <c r="Y83">
        <v>273.15</v>
      </c>
    </row>
    <row r="84" spans="1:25">
      <c r="A84" t="s">
        <v>132</v>
      </c>
      <c r="B84" t="s">
        <v>109</v>
      </c>
      <c r="C84" t="s">
        <v>24</v>
      </c>
      <c r="D84" t="s">
        <v>39</v>
      </c>
      <c r="E84" t="s">
        <v>40</v>
      </c>
      <c r="F84" t="s">
        <v>41</v>
      </c>
      <c r="G84" t="s">
        <v>110</v>
      </c>
      <c r="H84" t="s">
        <v>29</v>
      </c>
      <c r="I84" t="s">
        <v>42</v>
      </c>
      <c r="J84" t="s">
        <v>43</v>
      </c>
      <c r="L84">
        <v>60</v>
      </c>
      <c r="M84">
        <v>70</v>
      </c>
      <c r="N84">
        <v>-0.42</v>
      </c>
      <c r="O84">
        <f t="shared" si="5"/>
        <v>0.592716527014049</v>
      </c>
      <c r="P84">
        <v>1</v>
      </c>
      <c r="Q84">
        <v>0</v>
      </c>
      <c r="R84">
        <f t="shared" si="6"/>
        <v>333.15</v>
      </c>
      <c r="U84">
        <v>0.001987</v>
      </c>
      <c r="V84">
        <f t="shared" si="7"/>
        <v>1.42</v>
      </c>
      <c r="W84">
        <f t="shared" si="8"/>
        <v>0.58</v>
      </c>
      <c r="X84">
        <f t="shared" si="9"/>
        <v>0.408450704225352</v>
      </c>
      <c r="Y84">
        <v>273.15</v>
      </c>
    </row>
    <row r="85" spans="1:25">
      <c r="A85" t="s">
        <v>133</v>
      </c>
      <c r="B85" t="s">
        <v>109</v>
      </c>
      <c r="C85" t="s">
        <v>24</v>
      </c>
      <c r="D85" t="s">
        <v>45</v>
      </c>
      <c r="E85" t="s">
        <v>46</v>
      </c>
      <c r="F85" t="s">
        <v>47</v>
      </c>
      <c r="G85" t="s">
        <v>110</v>
      </c>
      <c r="H85" t="s">
        <v>29</v>
      </c>
      <c r="I85" t="s">
        <v>48</v>
      </c>
      <c r="J85" t="s">
        <v>49</v>
      </c>
      <c r="L85">
        <v>60</v>
      </c>
      <c r="M85">
        <v>70</v>
      </c>
      <c r="N85">
        <v>-0.45</v>
      </c>
      <c r="O85">
        <f t="shared" si="5"/>
        <v>0.641713165911279</v>
      </c>
      <c r="P85">
        <v>1</v>
      </c>
      <c r="Q85">
        <v>0</v>
      </c>
      <c r="R85">
        <f t="shared" si="6"/>
        <v>333.15</v>
      </c>
      <c r="U85">
        <v>0.001987</v>
      </c>
      <c r="V85">
        <f t="shared" si="7"/>
        <v>1.45</v>
      </c>
      <c r="W85">
        <f t="shared" si="8"/>
        <v>0.55</v>
      </c>
      <c r="X85">
        <f t="shared" si="9"/>
        <v>0.379310344827586</v>
      </c>
      <c r="Y85">
        <v>273.15</v>
      </c>
    </row>
    <row r="86" spans="1:25">
      <c r="A86" t="s">
        <v>134</v>
      </c>
      <c r="B86" t="s">
        <v>109</v>
      </c>
      <c r="C86" t="s">
        <v>24</v>
      </c>
      <c r="D86" t="s">
        <v>25</v>
      </c>
      <c r="E86" t="s">
        <v>26</v>
      </c>
      <c r="F86" t="s">
        <v>27</v>
      </c>
      <c r="G86" t="s">
        <v>110</v>
      </c>
      <c r="H86" t="s">
        <v>29</v>
      </c>
      <c r="I86" t="s">
        <v>30</v>
      </c>
      <c r="J86" t="s">
        <v>31</v>
      </c>
      <c r="L86">
        <v>60</v>
      </c>
      <c r="M86">
        <v>90</v>
      </c>
      <c r="N86">
        <v>0.72</v>
      </c>
      <c r="O86">
        <f t="shared" si="5"/>
        <v>-1.20166577469005</v>
      </c>
      <c r="P86">
        <v>1</v>
      </c>
      <c r="Q86">
        <v>0</v>
      </c>
      <c r="R86">
        <f t="shared" si="6"/>
        <v>333.15</v>
      </c>
      <c r="U86">
        <v>0.001987</v>
      </c>
      <c r="V86">
        <f t="shared" si="7"/>
        <v>0.28</v>
      </c>
      <c r="W86">
        <f t="shared" si="8"/>
        <v>1.72</v>
      </c>
      <c r="X86">
        <f t="shared" si="9"/>
        <v>6.14285714285714</v>
      </c>
      <c r="Y86">
        <v>273.15</v>
      </c>
    </row>
    <row r="87" spans="1:25">
      <c r="A87" t="s">
        <v>135</v>
      </c>
      <c r="B87" t="s">
        <v>109</v>
      </c>
      <c r="C87" t="s">
        <v>24</v>
      </c>
      <c r="D87" t="s">
        <v>33</v>
      </c>
      <c r="E87" t="s">
        <v>34</v>
      </c>
      <c r="F87" t="s">
        <v>35</v>
      </c>
      <c r="G87" t="s">
        <v>110</v>
      </c>
      <c r="H87" t="s">
        <v>29</v>
      </c>
      <c r="I87" t="s">
        <v>36</v>
      </c>
      <c r="J87" t="s">
        <v>37</v>
      </c>
      <c r="L87">
        <v>60</v>
      </c>
      <c r="M87">
        <v>90</v>
      </c>
      <c r="N87">
        <v>0.42</v>
      </c>
      <c r="O87">
        <f t="shared" si="5"/>
        <v>-0.592716527014049</v>
      </c>
      <c r="P87">
        <v>1</v>
      </c>
      <c r="Q87">
        <v>0</v>
      </c>
      <c r="R87">
        <f t="shared" si="6"/>
        <v>333.15</v>
      </c>
      <c r="U87">
        <v>0.001987</v>
      </c>
      <c r="V87">
        <f t="shared" si="7"/>
        <v>0.58</v>
      </c>
      <c r="W87">
        <f t="shared" si="8"/>
        <v>1.42</v>
      </c>
      <c r="X87">
        <f t="shared" si="9"/>
        <v>2.44827586206897</v>
      </c>
      <c r="Y87">
        <v>273.15</v>
      </c>
    </row>
    <row r="88" spans="1:25">
      <c r="A88" t="s">
        <v>136</v>
      </c>
      <c r="B88" t="s">
        <v>109</v>
      </c>
      <c r="C88" t="s">
        <v>24</v>
      </c>
      <c r="D88" t="s">
        <v>39</v>
      </c>
      <c r="E88" t="s">
        <v>40</v>
      </c>
      <c r="F88" t="s">
        <v>41</v>
      </c>
      <c r="G88" t="s">
        <v>110</v>
      </c>
      <c r="H88" t="s">
        <v>29</v>
      </c>
      <c r="I88" t="s">
        <v>42</v>
      </c>
      <c r="J88" t="s">
        <v>43</v>
      </c>
      <c r="L88">
        <v>60</v>
      </c>
      <c r="M88">
        <v>90</v>
      </c>
      <c r="N88">
        <v>-0.35</v>
      </c>
      <c r="O88">
        <f t="shared" si="5"/>
        <v>0.483824909686939</v>
      </c>
      <c r="P88">
        <v>1</v>
      </c>
      <c r="Q88">
        <v>0</v>
      </c>
      <c r="R88">
        <f t="shared" si="6"/>
        <v>333.15</v>
      </c>
      <c r="U88">
        <v>0.001987</v>
      </c>
      <c r="V88">
        <f t="shared" si="7"/>
        <v>1.35</v>
      </c>
      <c r="W88">
        <f t="shared" si="8"/>
        <v>0.65</v>
      </c>
      <c r="X88">
        <f t="shared" si="9"/>
        <v>0.481481481481481</v>
      </c>
      <c r="Y88">
        <v>273.15</v>
      </c>
    </row>
    <row r="89" spans="1:25">
      <c r="A89" t="s">
        <v>137</v>
      </c>
      <c r="B89" t="s">
        <v>109</v>
      </c>
      <c r="C89" t="s">
        <v>24</v>
      </c>
      <c r="D89" t="s">
        <v>45</v>
      </c>
      <c r="E89" t="s">
        <v>46</v>
      </c>
      <c r="F89" t="s">
        <v>47</v>
      </c>
      <c r="G89" t="s">
        <v>110</v>
      </c>
      <c r="H89" t="s">
        <v>29</v>
      </c>
      <c r="I89" t="s">
        <v>48</v>
      </c>
      <c r="J89" t="s">
        <v>49</v>
      </c>
      <c r="L89">
        <v>60</v>
      </c>
      <c r="M89">
        <v>90</v>
      </c>
      <c r="N89">
        <v>-0.4</v>
      </c>
      <c r="O89">
        <f t="shared" si="5"/>
        <v>0.56088495970755</v>
      </c>
      <c r="P89">
        <v>1</v>
      </c>
      <c r="Q89">
        <v>0</v>
      </c>
      <c r="R89">
        <f t="shared" si="6"/>
        <v>333.15</v>
      </c>
      <c r="U89">
        <v>0.001987</v>
      </c>
      <c r="V89">
        <f t="shared" si="7"/>
        <v>1.4</v>
      </c>
      <c r="W89">
        <f t="shared" si="8"/>
        <v>0.6</v>
      </c>
      <c r="X89">
        <f t="shared" si="9"/>
        <v>0.428571428571429</v>
      </c>
      <c r="Y89">
        <v>273.15</v>
      </c>
    </row>
    <row r="90" spans="1:25">
      <c r="A90" t="s">
        <v>138</v>
      </c>
      <c r="B90" t="s">
        <v>109</v>
      </c>
      <c r="C90" t="s">
        <v>24</v>
      </c>
      <c r="D90" t="s">
        <v>25</v>
      </c>
      <c r="E90" t="s">
        <v>26</v>
      </c>
      <c r="F90" t="s">
        <v>27</v>
      </c>
      <c r="G90" t="s">
        <v>110</v>
      </c>
      <c r="H90" t="s">
        <v>29</v>
      </c>
      <c r="I90" t="s">
        <v>30</v>
      </c>
      <c r="J90" t="s">
        <v>31</v>
      </c>
      <c r="L90">
        <v>60</v>
      </c>
      <c r="M90">
        <v>100</v>
      </c>
      <c r="N90">
        <v>0.73</v>
      </c>
      <c r="O90">
        <f t="shared" si="5"/>
        <v>-1.22957754203882</v>
      </c>
      <c r="P90">
        <v>1</v>
      </c>
      <c r="Q90">
        <v>0</v>
      </c>
      <c r="R90">
        <f t="shared" si="6"/>
        <v>333.15</v>
      </c>
      <c r="U90">
        <v>0.001987</v>
      </c>
      <c r="V90">
        <f t="shared" si="7"/>
        <v>0.27</v>
      </c>
      <c r="W90">
        <f t="shared" si="8"/>
        <v>1.73</v>
      </c>
      <c r="X90">
        <f t="shared" si="9"/>
        <v>6.40740740740741</v>
      </c>
      <c r="Y90">
        <v>273.15</v>
      </c>
    </row>
    <row r="91" spans="1:25">
      <c r="A91" t="s">
        <v>139</v>
      </c>
      <c r="B91" t="s">
        <v>109</v>
      </c>
      <c r="C91" t="s">
        <v>24</v>
      </c>
      <c r="D91" t="s">
        <v>33</v>
      </c>
      <c r="E91" t="s">
        <v>34</v>
      </c>
      <c r="F91" t="s">
        <v>35</v>
      </c>
      <c r="G91" t="s">
        <v>110</v>
      </c>
      <c r="H91" t="s">
        <v>29</v>
      </c>
      <c r="I91" t="s">
        <v>36</v>
      </c>
      <c r="J91" t="s">
        <v>37</v>
      </c>
      <c r="L91">
        <v>60</v>
      </c>
      <c r="M91">
        <v>100</v>
      </c>
      <c r="N91">
        <v>0.47</v>
      </c>
      <c r="O91">
        <f t="shared" si="5"/>
        <v>-0.675301552322182</v>
      </c>
      <c r="P91">
        <v>1</v>
      </c>
      <c r="Q91">
        <v>0</v>
      </c>
      <c r="R91">
        <f t="shared" si="6"/>
        <v>333.15</v>
      </c>
      <c r="U91">
        <v>0.001987</v>
      </c>
      <c r="V91">
        <f t="shared" si="7"/>
        <v>0.53</v>
      </c>
      <c r="W91">
        <f t="shared" si="8"/>
        <v>1.47</v>
      </c>
      <c r="X91">
        <f t="shared" si="9"/>
        <v>2.77358490566038</v>
      </c>
      <c r="Y91">
        <v>273.15</v>
      </c>
    </row>
    <row r="92" spans="1:25">
      <c r="A92" t="s">
        <v>140</v>
      </c>
      <c r="B92" t="s">
        <v>109</v>
      </c>
      <c r="C92" t="s">
        <v>24</v>
      </c>
      <c r="D92" t="s">
        <v>39</v>
      </c>
      <c r="E92" t="s">
        <v>40</v>
      </c>
      <c r="F92" t="s">
        <v>41</v>
      </c>
      <c r="G92" t="s">
        <v>110</v>
      </c>
      <c r="H92" t="s">
        <v>29</v>
      </c>
      <c r="I92" t="s">
        <v>42</v>
      </c>
      <c r="J92" t="s">
        <v>43</v>
      </c>
      <c r="L92">
        <v>60</v>
      </c>
      <c r="M92">
        <v>100</v>
      </c>
      <c r="N92">
        <v>-0.32</v>
      </c>
      <c r="O92">
        <f t="shared" si="5"/>
        <v>0.439080242969566</v>
      </c>
      <c r="P92">
        <v>1</v>
      </c>
      <c r="Q92">
        <v>0</v>
      </c>
      <c r="R92">
        <f t="shared" si="6"/>
        <v>333.15</v>
      </c>
      <c r="U92">
        <v>0.001987</v>
      </c>
      <c r="V92">
        <f t="shared" si="7"/>
        <v>1.32</v>
      </c>
      <c r="W92">
        <f t="shared" si="8"/>
        <v>0.68</v>
      </c>
      <c r="X92">
        <f t="shared" si="9"/>
        <v>0.515151515151515</v>
      </c>
      <c r="Y92">
        <v>273.15</v>
      </c>
    </row>
    <row r="93" spans="1:25">
      <c r="A93" t="s">
        <v>141</v>
      </c>
      <c r="B93" t="s">
        <v>109</v>
      </c>
      <c r="C93" t="s">
        <v>24</v>
      </c>
      <c r="D93" t="s">
        <v>45</v>
      </c>
      <c r="E93" t="s">
        <v>46</v>
      </c>
      <c r="F93" t="s">
        <v>47</v>
      </c>
      <c r="G93" t="s">
        <v>110</v>
      </c>
      <c r="H93" t="s">
        <v>29</v>
      </c>
      <c r="I93" t="s">
        <v>48</v>
      </c>
      <c r="J93" t="s">
        <v>49</v>
      </c>
      <c r="L93">
        <v>60</v>
      </c>
      <c r="M93">
        <v>100</v>
      </c>
      <c r="N93">
        <v>-0.25</v>
      </c>
      <c r="O93">
        <f t="shared" si="5"/>
        <v>0.33815075288003</v>
      </c>
      <c r="P93">
        <v>1</v>
      </c>
      <c r="Q93">
        <v>0</v>
      </c>
      <c r="R93">
        <f t="shared" si="6"/>
        <v>333.15</v>
      </c>
      <c r="U93">
        <v>0.001987</v>
      </c>
      <c r="V93">
        <f t="shared" si="7"/>
        <v>1.25</v>
      </c>
      <c r="W93">
        <f t="shared" si="8"/>
        <v>0.75</v>
      </c>
      <c r="X93">
        <f t="shared" si="9"/>
        <v>0.6</v>
      </c>
      <c r="Y93">
        <v>273.15</v>
      </c>
    </row>
    <row r="94" spans="1:25">
      <c r="A94" t="s">
        <v>142</v>
      </c>
      <c r="B94" t="s">
        <v>143</v>
      </c>
      <c r="C94" t="s">
        <v>24</v>
      </c>
      <c r="D94" t="s">
        <v>25</v>
      </c>
      <c r="E94" t="s">
        <v>26</v>
      </c>
      <c r="F94" t="s">
        <v>27</v>
      </c>
      <c r="G94" t="s">
        <v>144</v>
      </c>
      <c r="H94" t="s">
        <v>29</v>
      </c>
      <c r="I94" t="s">
        <v>30</v>
      </c>
      <c r="J94" t="s">
        <v>31</v>
      </c>
      <c r="L94">
        <v>60</v>
      </c>
      <c r="M94">
        <v>100</v>
      </c>
      <c r="N94">
        <v>0.77</v>
      </c>
      <c r="O94">
        <f t="shared" si="5"/>
        <v>-1.35085079373054</v>
      </c>
      <c r="P94">
        <v>1</v>
      </c>
      <c r="Q94">
        <v>0</v>
      </c>
      <c r="R94">
        <f t="shared" si="6"/>
        <v>333.15</v>
      </c>
      <c r="U94">
        <v>0.001987</v>
      </c>
      <c r="V94">
        <f t="shared" si="7"/>
        <v>0.23</v>
      </c>
      <c r="W94">
        <f t="shared" si="8"/>
        <v>1.77</v>
      </c>
      <c r="X94">
        <f t="shared" si="9"/>
        <v>7.69565217391304</v>
      </c>
      <c r="Y94">
        <v>273.15</v>
      </c>
    </row>
    <row r="95" spans="1:25">
      <c r="A95" t="s">
        <v>145</v>
      </c>
      <c r="B95" t="s">
        <v>143</v>
      </c>
      <c r="C95" t="s">
        <v>24</v>
      </c>
      <c r="D95" t="s">
        <v>33</v>
      </c>
      <c r="E95" t="s">
        <v>34</v>
      </c>
      <c r="F95" t="s">
        <v>35</v>
      </c>
      <c r="G95" t="s">
        <v>144</v>
      </c>
      <c r="H95" t="s">
        <v>29</v>
      </c>
      <c r="I95" t="s">
        <v>36</v>
      </c>
      <c r="J95" t="s">
        <v>37</v>
      </c>
      <c r="L95">
        <v>60</v>
      </c>
      <c r="M95">
        <v>100</v>
      </c>
      <c r="N95">
        <v>0.39</v>
      </c>
      <c r="O95">
        <f t="shared" si="5"/>
        <v>-0.545197755227652</v>
      </c>
      <c r="P95">
        <v>1</v>
      </c>
      <c r="Q95">
        <v>0</v>
      </c>
      <c r="R95">
        <f t="shared" si="6"/>
        <v>333.15</v>
      </c>
      <c r="U95">
        <v>0.001987</v>
      </c>
      <c r="V95">
        <f t="shared" si="7"/>
        <v>0.61</v>
      </c>
      <c r="W95">
        <f t="shared" si="8"/>
        <v>1.39</v>
      </c>
      <c r="X95">
        <f t="shared" si="9"/>
        <v>2.27868852459016</v>
      </c>
      <c r="Y95">
        <v>273.15</v>
      </c>
    </row>
    <row r="96" spans="1:25">
      <c r="A96" t="s">
        <v>146</v>
      </c>
      <c r="B96" t="s">
        <v>143</v>
      </c>
      <c r="C96" t="s">
        <v>24</v>
      </c>
      <c r="D96" t="s">
        <v>39</v>
      </c>
      <c r="E96" t="s">
        <v>40</v>
      </c>
      <c r="F96" t="s">
        <v>41</v>
      </c>
      <c r="G96" t="s">
        <v>144</v>
      </c>
      <c r="H96" t="s">
        <v>29</v>
      </c>
      <c r="I96" t="s">
        <v>42</v>
      </c>
      <c r="J96" t="s">
        <v>43</v>
      </c>
      <c r="L96">
        <v>60</v>
      </c>
      <c r="M96">
        <v>100</v>
      </c>
      <c r="N96">
        <v>0.6</v>
      </c>
      <c r="O96">
        <f t="shared" si="5"/>
        <v>-0.917683961250891</v>
      </c>
      <c r="P96">
        <v>1</v>
      </c>
      <c r="Q96">
        <v>0</v>
      </c>
      <c r="R96">
        <f t="shared" si="6"/>
        <v>333.15</v>
      </c>
      <c r="U96">
        <v>0.001987</v>
      </c>
      <c r="V96">
        <f t="shared" si="7"/>
        <v>0.4</v>
      </c>
      <c r="W96">
        <f t="shared" si="8"/>
        <v>1.6</v>
      </c>
      <c r="X96">
        <f t="shared" si="9"/>
        <v>4</v>
      </c>
      <c r="Y96">
        <v>273.15</v>
      </c>
    </row>
    <row r="97" spans="1:25">
      <c r="A97" t="s">
        <v>147</v>
      </c>
      <c r="B97" t="s">
        <v>143</v>
      </c>
      <c r="C97" t="s">
        <v>24</v>
      </c>
      <c r="D97" t="s">
        <v>45</v>
      </c>
      <c r="E97" t="s">
        <v>46</v>
      </c>
      <c r="F97" t="s">
        <v>47</v>
      </c>
      <c r="G97" t="s">
        <v>144</v>
      </c>
      <c r="H97" t="s">
        <v>29</v>
      </c>
      <c r="I97" t="s">
        <v>48</v>
      </c>
      <c r="J97" t="s">
        <v>49</v>
      </c>
      <c r="L97">
        <v>60</v>
      </c>
      <c r="M97">
        <v>100</v>
      </c>
      <c r="N97">
        <v>0.65</v>
      </c>
      <c r="O97">
        <f t="shared" si="5"/>
        <v>-1.02644749602628</v>
      </c>
      <c r="P97">
        <v>1</v>
      </c>
      <c r="Q97">
        <v>0</v>
      </c>
      <c r="R97">
        <f t="shared" si="6"/>
        <v>333.15</v>
      </c>
      <c r="U97">
        <v>0.001987</v>
      </c>
      <c r="V97">
        <f t="shared" si="7"/>
        <v>0.35</v>
      </c>
      <c r="W97">
        <f t="shared" si="8"/>
        <v>1.65</v>
      </c>
      <c r="X97">
        <f t="shared" si="9"/>
        <v>4.71428571428571</v>
      </c>
      <c r="Y97">
        <v>273.15</v>
      </c>
    </row>
    <row r="98" spans="1:25">
      <c r="A98" t="s">
        <v>148</v>
      </c>
      <c r="B98" t="s">
        <v>149</v>
      </c>
      <c r="C98" t="s">
        <v>24</v>
      </c>
      <c r="D98" t="s">
        <v>25</v>
      </c>
      <c r="E98" t="s">
        <v>26</v>
      </c>
      <c r="F98" t="s">
        <v>27</v>
      </c>
      <c r="G98" t="s">
        <v>150</v>
      </c>
      <c r="H98" t="s">
        <v>29</v>
      </c>
      <c r="I98" t="s">
        <v>30</v>
      </c>
      <c r="J98" t="s">
        <v>31</v>
      </c>
      <c r="L98">
        <v>60</v>
      </c>
      <c r="M98">
        <v>100</v>
      </c>
      <c r="N98">
        <v>0.6</v>
      </c>
      <c r="O98">
        <f t="shared" si="5"/>
        <v>-0.917683961250891</v>
      </c>
      <c r="P98">
        <v>0.3</v>
      </c>
      <c r="Q98">
        <v>0</v>
      </c>
      <c r="R98">
        <f t="shared" si="6"/>
        <v>333.15</v>
      </c>
      <c r="U98">
        <v>0.001987</v>
      </c>
      <c r="V98">
        <f t="shared" si="7"/>
        <v>0.4</v>
      </c>
      <c r="W98">
        <f t="shared" si="8"/>
        <v>1.6</v>
      </c>
      <c r="X98">
        <f t="shared" si="9"/>
        <v>4</v>
      </c>
      <c r="Y98">
        <v>273.15</v>
      </c>
    </row>
    <row r="99" spans="1:25">
      <c r="A99" t="s">
        <v>151</v>
      </c>
      <c r="B99" t="s">
        <v>149</v>
      </c>
      <c r="C99" t="s">
        <v>24</v>
      </c>
      <c r="D99" t="s">
        <v>33</v>
      </c>
      <c r="E99" t="s">
        <v>34</v>
      </c>
      <c r="F99" t="s">
        <v>35</v>
      </c>
      <c r="G99" t="s">
        <v>150</v>
      </c>
      <c r="H99" t="s">
        <v>29</v>
      </c>
      <c r="I99" t="s">
        <v>36</v>
      </c>
      <c r="J99" t="s">
        <v>37</v>
      </c>
      <c r="L99">
        <v>60</v>
      </c>
      <c r="M99">
        <v>100</v>
      </c>
      <c r="N99">
        <v>0.36</v>
      </c>
      <c r="O99">
        <f t="shared" si="5"/>
        <v>-0.49897360393588</v>
      </c>
      <c r="P99">
        <v>0.16</v>
      </c>
      <c r="Q99">
        <v>0</v>
      </c>
      <c r="R99">
        <f t="shared" si="6"/>
        <v>333.15</v>
      </c>
      <c r="U99">
        <v>0.001987</v>
      </c>
      <c r="V99">
        <f t="shared" si="7"/>
        <v>0.64</v>
      </c>
      <c r="W99">
        <f t="shared" si="8"/>
        <v>1.36</v>
      </c>
      <c r="X99">
        <f t="shared" si="9"/>
        <v>2.125</v>
      </c>
      <c r="Y99">
        <v>273.15</v>
      </c>
    </row>
    <row r="100" spans="1:25">
      <c r="A100" t="s">
        <v>152</v>
      </c>
      <c r="B100" t="s">
        <v>149</v>
      </c>
      <c r="C100" t="s">
        <v>24</v>
      </c>
      <c r="D100" t="s">
        <v>39</v>
      </c>
      <c r="E100" t="s">
        <v>40</v>
      </c>
      <c r="F100" t="s">
        <v>41</v>
      </c>
      <c r="G100" t="s">
        <v>150</v>
      </c>
      <c r="H100" t="s">
        <v>29</v>
      </c>
      <c r="I100" t="s">
        <v>42</v>
      </c>
      <c r="J100" t="s">
        <v>43</v>
      </c>
      <c r="L100">
        <v>60</v>
      </c>
      <c r="M100">
        <v>100</v>
      </c>
      <c r="N100">
        <v>0.62</v>
      </c>
      <c r="O100">
        <f t="shared" si="5"/>
        <v>-0.959861858370039</v>
      </c>
      <c r="P100">
        <v>0.28</v>
      </c>
      <c r="Q100">
        <v>0</v>
      </c>
      <c r="R100">
        <f t="shared" si="6"/>
        <v>333.15</v>
      </c>
      <c r="U100">
        <v>0.001987</v>
      </c>
      <c r="V100">
        <f t="shared" si="7"/>
        <v>0.38</v>
      </c>
      <c r="W100">
        <f t="shared" si="8"/>
        <v>1.62</v>
      </c>
      <c r="X100">
        <f t="shared" si="9"/>
        <v>4.26315789473684</v>
      </c>
      <c r="Y100">
        <v>273.15</v>
      </c>
    </row>
    <row r="101" spans="1:25">
      <c r="A101" t="s">
        <v>153</v>
      </c>
      <c r="B101" t="s">
        <v>149</v>
      </c>
      <c r="C101" t="s">
        <v>24</v>
      </c>
      <c r="D101" t="s">
        <v>45</v>
      </c>
      <c r="E101" t="s">
        <v>46</v>
      </c>
      <c r="F101" t="s">
        <v>47</v>
      </c>
      <c r="G101" t="s">
        <v>150</v>
      </c>
      <c r="H101" t="s">
        <v>29</v>
      </c>
      <c r="I101" t="s">
        <v>48</v>
      </c>
      <c r="J101" t="s">
        <v>49</v>
      </c>
      <c r="L101">
        <v>60</v>
      </c>
      <c r="M101">
        <v>100</v>
      </c>
      <c r="N101">
        <v>0.7</v>
      </c>
      <c r="O101">
        <f t="shared" si="5"/>
        <v>-1.14825221276426</v>
      </c>
      <c r="P101">
        <v>0.26</v>
      </c>
      <c r="Q101">
        <v>0</v>
      </c>
      <c r="R101">
        <f t="shared" si="6"/>
        <v>333.15</v>
      </c>
      <c r="U101">
        <v>0.001987</v>
      </c>
      <c r="V101">
        <f t="shared" si="7"/>
        <v>0.3</v>
      </c>
      <c r="W101">
        <f t="shared" si="8"/>
        <v>1.7</v>
      </c>
      <c r="X101">
        <f t="shared" si="9"/>
        <v>5.66666666666667</v>
      </c>
      <c r="Y101">
        <v>273.15</v>
      </c>
    </row>
    <row r="102" spans="1:25">
      <c r="A102" t="s">
        <v>154</v>
      </c>
      <c r="B102" t="s">
        <v>155</v>
      </c>
      <c r="C102" t="s">
        <v>24</v>
      </c>
      <c r="D102" t="s">
        <v>25</v>
      </c>
      <c r="E102" t="s">
        <v>26</v>
      </c>
      <c r="F102" t="s">
        <v>27</v>
      </c>
      <c r="G102" t="s">
        <v>156</v>
      </c>
      <c r="H102" t="s">
        <v>29</v>
      </c>
      <c r="I102" t="s">
        <v>30</v>
      </c>
      <c r="J102" t="s">
        <v>31</v>
      </c>
      <c r="L102">
        <v>60</v>
      </c>
      <c r="M102">
        <v>100</v>
      </c>
      <c r="N102">
        <v>0.75</v>
      </c>
      <c r="O102">
        <f t="shared" si="5"/>
        <v>-1.2881322927555</v>
      </c>
      <c r="P102">
        <v>0.7</v>
      </c>
      <c r="Q102">
        <v>0</v>
      </c>
      <c r="R102">
        <f t="shared" si="6"/>
        <v>333.15</v>
      </c>
      <c r="U102">
        <v>0.001987</v>
      </c>
      <c r="V102">
        <f t="shared" si="7"/>
        <v>0.25</v>
      </c>
      <c r="W102">
        <f t="shared" si="8"/>
        <v>1.75</v>
      </c>
      <c r="X102">
        <f t="shared" si="9"/>
        <v>7</v>
      </c>
      <c r="Y102">
        <v>273.15</v>
      </c>
    </row>
    <row r="103" spans="1:25">
      <c r="A103" t="s">
        <v>157</v>
      </c>
      <c r="B103" t="s">
        <v>155</v>
      </c>
      <c r="C103" t="s">
        <v>24</v>
      </c>
      <c r="D103" t="s">
        <v>33</v>
      </c>
      <c r="E103" t="s">
        <v>34</v>
      </c>
      <c r="F103" t="s">
        <v>35</v>
      </c>
      <c r="G103" t="s">
        <v>156</v>
      </c>
      <c r="H103" t="s">
        <v>29</v>
      </c>
      <c r="I103" t="s">
        <v>36</v>
      </c>
      <c r="J103" t="s">
        <v>37</v>
      </c>
      <c r="L103">
        <v>60</v>
      </c>
      <c r="M103">
        <v>100</v>
      </c>
      <c r="N103">
        <v>0.42</v>
      </c>
      <c r="O103">
        <f t="shared" si="5"/>
        <v>-0.592716527014049</v>
      </c>
      <c r="P103">
        <v>0.32</v>
      </c>
      <c r="Q103">
        <v>0</v>
      </c>
      <c r="R103">
        <f t="shared" si="6"/>
        <v>333.15</v>
      </c>
      <c r="U103">
        <v>0.001987</v>
      </c>
      <c r="V103">
        <f t="shared" si="7"/>
        <v>0.58</v>
      </c>
      <c r="W103">
        <f t="shared" si="8"/>
        <v>1.42</v>
      </c>
      <c r="X103">
        <f t="shared" si="9"/>
        <v>2.44827586206897</v>
      </c>
      <c r="Y103">
        <v>273.15</v>
      </c>
    </row>
    <row r="104" spans="1:25">
      <c r="A104" t="s">
        <v>158</v>
      </c>
      <c r="B104" t="s">
        <v>155</v>
      </c>
      <c r="C104" t="s">
        <v>24</v>
      </c>
      <c r="D104" t="s">
        <v>39</v>
      </c>
      <c r="E104" t="s">
        <v>40</v>
      </c>
      <c r="F104" t="s">
        <v>41</v>
      </c>
      <c r="G104" t="s">
        <v>156</v>
      </c>
      <c r="H104" t="s">
        <v>29</v>
      </c>
      <c r="I104" t="s">
        <v>42</v>
      </c>
      <c r="J104" t="s">
        <v>43</v>
      </c>
      <c r="L104">
        <v>60</v>
      </c>
      <c r="M104">
        <v>100</v>
      </c>
      <c r="N104">
        <v>0.66</v>
      </c>
      <c r="O104">
        <f t="shared" si="5"/>
        <v>-1.04963617343232</v>
      </c>
      <c r="P104">
        <v>0.43</v>
      </c>
      <c r="Q104">
        <v>0</v>
      </c>
      <c r="R104">
        <f t="shared" si="6"/>
        <v>333.15</v>
      </c>
      <c r="U104">
        <v>0.001987</v>
      </c>
      <c r="V104">
        <f t="shared" si="7"/>
        <v>0.34</v>
      </c>
      <c r="W104">
        <f t="shared" si="8"/>
        <v>1.66</v>
      </c>
      <c r="X104">
        <f t="shared" si="9"/>
        <v>4.88235294117647</v>
      </c>
      <c r="Y104">
        <v>273.15</v>
      </c>
    </row>
    <row r="105" spans="1:25">
      <c r="A105" t="s">
        <v>159</v>
      </c>
      <c r="B105" t="s">
        <v>155</v>
      </c>
      <c r="C105" t="s">
        <v>24</v>
      </c>
      <c r="D105" t="s">
        <v>45</v>
      </c>
      <c r="E105" t="s">
        <v>46</v>
      </c>
      <c r="F105" t="s">
        <v>47</v>
      </c>
      <c r="G105" t="s">
        <v>156</v>
      </c>
      <c r="H105" t="s">
        <v>29</v>
      </c>
      <c r="I105" t="s">
        <v>48</v>
      </c>
      <c r="J105" t="s">
        <v>49</v>
      </c>
      <c r="L105">
        <v>60</v>
      </c>
      <c r="M105">
        <v>100</v>
      </c>
      <c r="N105">
        <v>0.77</v>
      </c>
      <c r="O105">
        <f t="shared" si="5"/>
        <v>-1.35085079373054</v>
      </c>
      <c r="P105">
        <v>0.51</v>
      </c>
      <c r="Q105">
        <v>0</v>
      </c>
      <c r="R105">
        <f t="shared" si="6"/>
        <v>333.15</v>
      </c>
      <c r="U105">
        <v>0.001987</v>
      </c>
      <c r="V105">
        <f t="shared" si="7"/>
        <v>0.23</v>
      </c>
      <c r="W105">
        <f t="shared" si="8"/>
        <v>1.77</v>
      </c>
      <c r="X105">
        <f t="shared" si="9"/>
        <v>7.69565217391304</v>
      </c>
      <c r="Y105">
        <v>273.15</v>
      </c>
    </row>
    <row r="106" spans="1:25">
      <c r="A106" t="s">
        <v>160</v>
      </c>
      <c r="B106" t="s">
        <v>161</v>
      </c>
      <c r="C106" t="s">
        <v>24</v>
      </c>
      <c r="D106" t="s">
        <v>25</v>
      </c>
      <c r="E106" t="s">
        <v>26</v>
      </c>
      <c r="F106" t="s">
        <v>27</v>
      </c>
      <c r="G106" t="s">
        <v>162</v>
      </c>
      <c r="H106" t="s">
        <v>29</v>
      </c>
      <c r="I106" t="s">
        <v>30</v>
      </c>
      <c r="J106" t="s">
        <v>31</v>
      </c>
      <c r="L106">
        <v>60</v>
      </c>
      <c r="M106">
        <v>100</v>
      </c>
      <c r="N106">
        <v>0.78</v>
      </c>
      <c r="O106">
        <f t="shared" si="5"/>
        <v>-1.38400589773321</v>
      </c>
      <c r="P106">
        <v>0.89</v>
      </c>
      <c r="Q106">
        <v>0</v>
      </c>
      <c r="R106">
        <f t="shared" si="6"/>
        <v>333.15</v>
      </c>
      <c r="U106">
        <v>0.001987</v>
      </c>
      <c r="V106">
        <f t="shared" si="7"/>
        <v>0.22</v>
      </c>
      <c r="W106">
        <f t="shared" si="8"/>
        <v>1.78</v>
      </c>
      <c r="X106">
        <f t="shared" si="9"/>
        <v>8.09090909090909</v>
      </c>
      <c r="Y106">
        <v>273.15</v>
      </c>
    </row>
    <row r="107" spans="1:25">
      <c r="A107" t="s">
        <v>163</v>
      </c>
      <c r="B107" t="s">
        <v>161</v>
      </c>
      <c r="C107" t="s">
        <v>24</v>
      </c>
      <c r="D107" t="s">
        <v>33</v>
      </c>
      <c r="E107" t="s">
        <v>34</v>
      </c>
      <c r="F107" t="s">
        <v>35</v>
      </c>
      <c r="G107" t="s">
        <v>162</v>
      </c>
      <c r="H107" t="s">
        <v>29</v>
      </c>
      <c r="I107" t="s">
        <v>36</v>
      </c>
      <c r="J107" t="s">
        <v>37</v>
      </c>
      <c r="L107">
        <v>60</v>
      </c>
      <c r="M107">
        <v>100</v>
      </c>
      <c r="N107">
        <v>0.43</v>
      </c>
      <c r="O107">
        <f t="shared" si="5"/>
        <v>-0.608874738321019</v>
      </c>
      <c r="P107">
        <v>0.47</v>
      </c>
      <c r="Q107">
        <v>0</v>
      </c>
      <c r="R107">
        <f t="shared" si="6"/>
        <v>333.15</v>
      </c>
      <c r="U107">
        <v>0.001987</v>
      </c>
      <c r="V107">
        <f t="shared" si="7"/>
        <v>0.57</v>
      </c>
      <c r="W107">
        <f t="shared" si="8"/>
        <v>1.43</v>
      </c>
      <c r="X107">
        <f t="shared" si="9"/>
        <v>2.50877192982456</v>
      </c>
      <c r="Y107">
        <v>273.15</v>
      </c>
    </row>
    <row r="108" spans="1:25">
      <c r="A108" t="s">
        <v>164</v>
      </c>
      <c r="B108" t="s">
        <v>161</v>
      </c>
      <c r="C108" t="s">
        <v>24</v>
      </c>
      <c r="D108" t="s">
        <v>39</v>
      </c>
      <c r="E108" t="s">
        <v>40</v>
      </c>
      <c r="F108" t="s">
        <v>41</v>
      </c>
      <c r="G108" t="s">
        <v>162</v>
      </c>
      <c r="H108" t="s">
        <v>29</v>
      </c>
      <c r="I108" t="s">
        <v>42</v>
      </c>
      <c r="J108" t="s">
        <v>43</v>
      </c>
      <c r="L108">
        <v>60</v>
      </c>
      <c r="M108">
        <v>100</v>
      </c>
      <c r="N108">
        <v>0.66</v>
      </c>
      <c r="O108">
        <f t="shared" si="5"/>
        <v>-1.04963617343232</v>
      </c>
      <c r="P108">
        <v>0.6</v>
      </c>
      <c r="Q108">
        <v>0</v>
      </c>
      <c r="R108">
        <f t="shared" si="6"/>
        <v>333.15</v>
      </c>
      <c r="U108">
        <v>0.001987</v>
      </c>
      <c r="V108">
        <f t="shared" si="7"/>
        <v>0.34</v>
      </c>
      <c r="W108">
        <f t="shared" si="8"/>
        <v>1.66</v>
      </c>
      <c r="X108">
        <f t="shared" si="9"/>
        <v>4.88235294117647</v>
      </c>
      <c r="Y108">
        <v>273.15</v>
      </c>
    </row>
    <row r="109" spans="1:25">
      <c r="A109" t="s">
        <v>165</v>
      </c>
      <c r="B109" t="s">
        <v>161</v>
      </c>
      <c r="C109" t="s">
        <v>24</v>
      </c>
      <c r="D109" t="s">
        <v>45</v>
      </c>
      <c r="E109" t="s">
        <v>46</v>
      </c>
      <c r="F109" t="s">
        <v>47</v>
      </c>
      <c r="G109" t="s">
        <v>162</v>
      </c>
      <c r="H109" t="s">
        <v>29</v>
      </c>
      <c r="I109" t="s">
        <v>48</v>
      </c>
      <c r="J109" t="s">
        <v>49</v>
      </c>
      <c r="L109">
        <v>60</v>
      </c>
      <c r="M109">
        <v>100</v>
      </c>
      <c r="N109">
        <v>0.73</v>
      </c>
      <c r="O109">
        <f t="shared" si="5"/>
        <v>-1.22957754203882</v>
      </c>
      <c r="P109">
        <v>0.68</v>
      </c>
      <c r="Q109">
        <v>0</v>
      </c>
      <c r="R109">
        <f t="shared" si="6"/>
        <v>333.15</v>
      </c>
      <c r="U109">
        <v>0.001987</v>
      </c>
      <c r="V109">
        <f t="shared" si="7"/>
        <v>0.27</v>
      </c>
      <c r="W109">
        <f t="shared" si="8"/>
        <v>1.73</v>
      </c>
      <c r="X109">
        <f t="shared" si="9"/>
        <v>6.40740740740741</v>
      </c>
      <c r="Y109">
        <v>273.15</v>
      </c>
    </row>
    <row r="110" spans="1:25">
      <c r="A110" t="s">
        <v>166</v>
      </c>
      <c r="B110" t="s">
        <v>167</v>
      </c>
      <c r="C110" t="s">
        <v>24</v>
      </c>
      <c r="D110" t="s">
        <v>25</v>
      </c>
      <c r="E110" t="s">
        <v>26</v>
      </c>
      <c r="F110" t="s">
        <v>27</v>
      </c>
      <c r="G110" t="s">
        <v>168</v>
      </c>
      <c r="H110" t="s">
        <v>29</v>
      </c>
      <c r="I110" t="s">
        <v>30</v>
      </c>
      <c r="J110" t="s">
        <v>31</v>
      </c>
      <c r="L110">
        <v>60</v>
      </c>
      <c r="M110">
        <v>100</v>
      </c>
      <c r="N110">
        <v>0.04</v>
      </c>
      <c r="O110">
        <f t="shared" si="5"/>
        <v>-0.0529857951580787</v>
      </c>
      <c r="P110">
        <v>0.83</v>
      </c>
      <c r="Q110">
        <v>0</v>
      </c>
      <c r="R110">
        <f t="shared" si="6"/>
        <v>333.15</v>
      </c>
      <c r="U110">
        <v>0.001987</v>
      </c>
      <c r="V110">
        <f t="shared" si="7"/>
        <v>0.96</v>
      </c>
      <c r="W110">
        <f t="shared" si="8"/>
        <v>1.04</v>
      </c>
      <c r="X110">
        <f t="shared" si="9"/>
        <v>1.08333333333333</v>
      </c>
      <c r="Y110">
        <v>273.15</v>
      </c>
    </row>
    <row r="111" spans="1:25">
      <c r="A111" t="s">
        <v>169</v>
      </c>
      <c r="B111" t="s">
        <v>167</v>
      </c>
      <c r="C111" t="s">
        <v>24</v>
      </c>
      <c r="D111" t="s">
        <v>33</v>
      </c>
      <c r="E111" t="s">
        <v>34</v>
      </c>
      <c r="F111" t="s">
        <v>35</v>
      </c>
      <c r="G111" t="s">
        <v>168</v>
      </c>
      <c r="H111" t="s">
        <v>29</v>
      </c>
      <c r="I111" t="s">
        <v>36</v>
      </c>
      <c r="J111" t="s">
        <v>37</v>
      </c>
      <c r="L111">
        <v>60</v>
      </c>
      <c r="M111">
        <v>100</v>
      </c>
      <c r="N111">
        <v>0.01</v>
      </c>
      <c r="O111">
        <f t="shared" si="5"/>
        <v>-0.0132398223391806</v>
      </c>
      <c r="P111">
        <v>0.89</v>
      </c>
      <c r="Q111">
        <v>0</v>
      </c>
      <c r="R111">
        <f t="shared" si="6"/>
        <v>333.15</v>
      </c>
      <c r="U111">
        <v>0.001987</v>
      </c>
      <c r="V111">
        <f t="shared" si="7"/>
        <v>0.99</v>
      </c>
      <c r="W111">
        <f t="shared" si="8"/>
        <v>1.01</v>
      </c>
      <c r="X111">
        <f t="shared" si="9"/>
        <v>1.02020202020202</v>
      </c>
      <c r="Y111">
        <v>273.15</v>
      </c>
    </row>
    <row r="112" spans="1:25">
      <c r="A112" t="s">
        <v>170</v>
      </c>
      <c r="B112" t="s">
        <v>167</v>
      </c>
      <c r="C112" t="s">
        <v>24</v>
      </c>
      <c r="D112" t="s">
        <v>39</v>
      </c>
      <c r="E112" t="s">
        <v>40</v>
      </c>
      <c r="F112" t="s">
        <v>41</v>
      </c>
      <c r="G112" t="s">
        <v>168</v>
      </c>
      <c r="H112" t="s">
        <v>29</v>
      </c>
      <c r="I112" t="s">
        <v>42</v>
      </c>
      <c r="J112" t="s">
        <v>43</v>
      </c>
      <c r="L112">
        <v>60</v>
      </c>
      <c r="M112">
        <v>100</v>
      </c>
      <c r="N112">
        <v>0</v>
      </c>
      <c r="O112">
        <f t="shared" si="5"/>
        <v>0</v>
      </c>
      <c r="P112">
        <v>0.71</v>
      </c>
      <c r="Q112">
        <v>0</v>
      </c>
      <c r="R112">
        <f t="shared" si="6"/>
        <v>333.15</v>
      </c>
      <c r="U112">
        <v>0.001987</v>
      </c>
      <c r="V112">
        <f t="shared" si="7"/>
        <v>1</v>
      </c>
      <c r="W112">
        <f t="shared" si="8"/>
        <v>1</v>
      </c>
      <c r="X112">
        <f t="shared" si="9"/>
        <v>1</v>
      </c>
      <c r="Y112">
        <v>273.15</v>
      </c>
    </row>
    <row r="113" spans="1:25">
      <c r="A113" t="s">
        <v>171</v>
      </c>
      <c r="B113" t="s">
        <v>167</v>
      </c>
      <c r="C113" t="s">
        <v>24</v>
      </c>
      <c r="D113" t="s">
        <v>45</v>
      </c>
      <c r="E113" t="s">
        <v>46</v>
      </c>
      <c r="F113" t="s">
        <v>47</v>
      </c>
      <c r="G113" t="s">
        <v>168</v>
      </c>
      <c r="H113" t="s">
        <v>29</v>
      </c>
      <c r="I113" t="s">
        <v>48</v>
      </c>
      <c r="J113" t="s">
        <v>49</v>
      </c>
      <c r="L113">
        <v>60</v>
      </c>
      <c r="M113">
        <v>100</v>
      </c>
      <c r="N113">
        <v>-0.01</v>
      </c>
      <c r="O113">
        <f t="shared" si="5"/>
        <v>0.0132398223391807</v>
      </c>
      <c r="P113">
        <v>0.79</v>
      </c>
      <c r="Q113">
        <v>0</v>
      </c>
      <c r="R113">
        <f t="shared" si="6"/>
        <v>333.15</v>
      </c>
      <c r="U113">
        <v>0.001987</v>
      </c>
      <c r="V113">
        <f t="shared" si="7"/>
        <v>1.01</v>
      </c>
      <c r="W113">
        <f t="shared" si="8"/>
        <v>0.99</v>
      </c>
      <c r="X113">
        <f t="shared" si="9"/>
        <v>0.98019801980198</v>
      </c>
      <c r="Y113">
        <v>273.15</v>
      </c>
    </row>
    <row r="114" spans="1:25">
      <c r="A114" t="s">
        <v>172</v>
      </c>
      <c r="B114" t="s">
        <v>173</v>
      </c>
      <c r="C114" t="s">
        <v>24</v>
      </c>
      <c r="D114" t="s">
        <v>25</v>
      </c>
      <c r="E114" t="s">
        <v>26</v>
      </c>
      <c r="F114" t="s">
        <v>27</v>
      </c>
      <c r="G114" t="s">
        <v>174</v>
      </c>
      <c r="H114" t="s">
        <v>29</v>
      </c>
      <c r="I114" t="s">
        <v>30</v>
      </c>
      <c r="J114" t="s">
        <v>31</v>
      </c>
      <c r="L114">
        <v>60</v>
      </c>
      <c r="M114">
        <v>100</v>
      </c>
      <c r="N114">
        <v>0.72</v>
      </c>
      <c r="O114">
        <f t="shared" si="5"/>
        <v>-1.20166577469005</v>
      </c>
      <c r="P114">
        <v>1</v>
      </c>
      <c r="Q114">
        <v>0</v>
      </c>
      <c r="R114">
        <f t="shared" si="6"/>
        <v>333.15</v>
      </c>
      <c r="U114">
        <v>0.001987</v>
      </c>
      <c r="V114">
        <f t="shared" si="7"/>
        <v>0.28</v>
      </c>
      <c r="W114">
        <f t="shared" si="8"/>
        <v>1.72</v>
      </c>
      <c r="X114">
        <f t="shared" si="9"/>
        <v>6.14285714285714</v>
      </c>
      <c r="Y114">
        <v>273.15</v>
      </c>
    </row>
    <row r="115" spans="1:25">
      <c r="A115" t="s">
        <v>175</v>
      </c>
      <c r="B115" t="s">
        <v>173</v>
      </c>
      <c r="C115" t="s">
        <v>24</v>
      </c>
      <c r="D115" t="s">
        <v>33</v>
      </c>
      <c r="E115" t="s">
        <v>34</v>
      </c>
      <c r="F115" t="s">
        <v>35</v>
      </c>
      <c r="G115" t="s">
        <v>174</v>
      </c>
      <c r="H115" t="s">
        <v>29</v>
      </c>
      <c r="I115" t="s">
        <v>36</v>
      </c>
      <c r="J115" t="s">
        <v>37</v>
      </c>
      <c r="L115">
        <v>60</v>
      </c>
      <c r="M115">
        <v>100</v>
      </c>
      <c r="N115">
        <v>0.42</v>
      </c>
      <c r="O115">
        <f t="shared" si="5"/>
        <v>-0.592716527014049</v>
      </c>
      <c r="P115">
        <v>1</v>
      </c>
      <c r="Q115">
        <v>0</v>
      </c>
      <c r="R115">
        <f t="shared" si="6"/>
        <v>333.15</v>
      </c>
      <c r="U115">
        <v>0.001987</v>
      </c>
      <c r="V115">
        <f t="shared" si="7"/>
        <v>0.58</v>
      </c>
      <c r="W115">
        <f t="shared" si="8"/>
        <v>1.42</v>
      </c>
      <c r="X115">
        <f t="shared" si="9"/>
        <v>2.44827586206897</v>
      </c>
      <c r="Y115">
        <v>273.15</v>
      </c>
    </row>
    <row r="116" spans="1:25">
      <c r="A116" t="s">
        <v>176</v>
      </c>
      <c r="B116" t="s">
        <v>173</v>
      </c>
      <c r="C116" t="s">
        <v>24</v>
      </c>
      <c r="D116" t="s">
        <v>39</v>
      </c>
      <c r="E116" t="s">
        <v>40</v>
      </c>
      <c r="F116" t="s">
        <v>41</v>
      </c>
      <c r="G116" t="s">
        <v>174</v>
      </c>
      <c r="H116" t="s">
        <v>29</v>
      </c>
      <c r="I116" t="s">
        <v>42</v>
      </c>
      <c r="J116" t="s">
        <v>43</v>
      </c>
      <c r="L116">
        <v>60</v>
      </c>
      <c r="M116">
        <v>100</v>
      </c>
      <c r="N116">
        <v>0.7</v>
      </c>
      <c r="O116">
        <f t="shared" si="5"/>
        <v>-1.14825221276426</v>
      </c>
      <c r="P116">
        <v>1</v>
      </c>
      <c r="Q116">
        <v>0</v>
      </c>
      <c r="R116">
        <f t="shared" si="6"/>
        <v>333.15</v>
      </c>
      <c r="U116">
        <v>0.001987</v>
      </c>
      <c r="V116">
        <f t="shared" si="7"/>
        <v>0.3</v>
      </c>
      <c r="W116">
        <f t="shared" si="8"/>
        <v>1.7</v>
      </c>
      <c r="X116">
        <f t="shared" si="9"/>
        <v>5.66666666666667</v>
      </c>
      <c r="Y116">
        <v>273.15</v>
      </c>
    </row>
    <row r="117" spans="1:25">
      <c r="A117" t="s">
        <v>177</v>
      </c>
      <c r="B117" t="s">
        <v>173</v>
      </c>
      <c r="C117" t="s">
        <v>24</v>
      </c>
      <c r="D117" t="s">
        <v>45</v>
      </c>
      <c r="E117" t="s">
        <v>46</v>
      </c>
      <c r="F117" t="s">
        <v>47</v>
      </c>
      <c r="G117" t="s">
        <v>174</v>
      </c>
      <c r="H117" t="s">
        <v>29</v>
      </c>
      <c r="I117" t="s">
        <v>48</v>
      </c>
      <c r="J117" t="s">
        <v>49</v>
      </c>
      <c r="L117">
        <v>60</v>
      </c>
      <c r="M117">
        <v>100</v>
      </c>
      <c r="N117">
        <v>0.75</v>
      </c>
      <c r="O117">
        <f t="shared" si="5"/>
        <v>-1.2881322927555</v>
      </c>
      <c r="P117">
        <v>1</v>
      </c>
      <c r="Q117">
        <v>0</v>
      </c>
      <c r="R117">
        <f t="shared" si="6"/>
        <v>333.15</v>
      </c>
      <c r="U117">
        <v>0.001987</v>
      </c>
      <c r="V117">
        <f t="shared" si="7"/>
        <v>0.25</v>
      </c>
      <c r="W117">
        <f t="shared" si="8"/>
        <v>1.75</v>
      </c>
      <c r="X117">
        <f t="shared" si="9"/>
        <v>7</v>
      </c>
      <c r="Y117">
        <v>273.15</v>
      </c>
    </row>
    <row r="118" spans="1:25">
      <c r="A118" t="s">
        <v>178</v>
      </c>
      <c r="B118" t="s">
        <v>179</v>
      </c>
      <c r="C118" t="s">
        <v>24</v>
      </c>
      <c r="D118" t="s">
        <v>25</v>
      </c>
      <c r="E118" t="s">
        <v>26</v>
      </c>
      <c r="F118" t="s">
        <v>27</v>
      </c>
      <c r="G118" t="s">
        <v>180</v>
      </c>
      <c r="H118" t="s">
        <v>29</v>
      </c>
      <c r="I118" t="s">
        <v>30</v>
      </c>
      <c r="J118" t="s">
        <v>31</v>
      </c>
      <c r="L118">
        <v>60</v>
      </c>
      <c r="M118">
        <v>100</v>
      </c>
      <c r="N118">
        <v>0.24</v>
      </c>
      <c r="O118">
        <f t="shared" si="5"/>
        <v>-0.32406577364341</v>
      </c>
      <c r="P118">
        <v>0.6</v>
      </c>
      <c r="Q118">
        <v>0</v>
      </c>
      <c r="R118">
        <f t="shared" si="6"/>
        <v>333.15</v>
      </c>
      <c r="U118">
        <v>0.001987</v>
      </c>
      <c r="V118">
        <f t="shared" si="7"/>
        <v>0.76</v>
      </c>
      <c r="W118">
        <f t="shared" si="8"/>
        <v>1.24</v>
      </c>
      <c r="X118">
        <f t="shared" si="9"/>
        <v>1.63157894736842</v>
      </c>
      <c r="Y118">
        <v>273.15</v>
      </c>
    </row>
    <row r="119" spans="1:25">
      <c r="A119" t="s">
        <v>181</v>
      </c>
      <c r="B119" t="s">
        <v>179</v>
      </c>
      <c r="C119" t="s">
        <v>24</v>
      </c>
      <c r="D119" t="s">
        <v>33</v>
      </c>
      <c r="E119" t="s">
        <v>34</v>
      </c>
      <c r="F119" t="s">
        <v>35</v>
      </c>
      <c r="G119" t="s">
        <v>180</v>
      </c>
      <c r="H119" t="s">
        <v>29</v>
      </c>
      <c r="I119" t="s">
        <v>36</v>
      </c>
      <c r="J119" t="s">
        <v>37</v>
      </c>
      <c r="L119">
        <v>60</v>
      </c>
      <c r="M119">
        <v>100</v>
      </c>
      <c r="N119">
        <v>0.67</v>
      </c>
      <c r="O119">
        <f t="shared" si="5"/>
        <v>-1.07337371312962</v>
      </c>
      <c r="P119">
        <v>0.4</v>
      </c>
      <c r="Q119">
        <v>0</v>
      </c>
      <c r="R119">
        <f t="shared" si="6"/>
        <v>333.15</v>
      </c>
      <c r="U119">
        <v>0.001987</v>
      </c>
      <c r="V119">
        <f t="shared" si="7"/>
        <v>0.33</v>
      </c>
      <c r="W119">
        <f t="shared" si="8"/>
        <v>1.67</v>
      </c>
      <c r="X119">
        <f t="shared" si="9"/>
        <v>5.06060606060606</v>
      </c>
      <c r="Y119">
        <v>273.15</v>
      </c>
    </row>
    <row r="120" spans="1:25">
      <c r="A120" t="s">
        <v>182</v>
      </c>
      <c r="B120" t="s">
        <v>179</v>
      </c>
      <c r="C120" t="s">
        <v>24</v>
      </c>
      <c r="D120" t="s">
        <v>39</v>
      </c>
      <c r="E120" t="s">
        <v>40</v>
      </c>
      <c r="F120" t="s">
        <v>41</v>
      </c>
      <c r="G120" t="s">
        <v>180</v>
      </c>
      <c r="H120" t="s">
        <v>29</v>
      </c>
      <c r="I120" t="s">
        <v>42</v>
      </c>
      <c r="J120" t="s">
        <v>43</v>
      </c>
      <c r="L120">
        <v>60</v>
      </c>
      <c r="M120">
        <v>100</v>
      </c>
      <c r="N120">
        <v>0.65</v>
      </c>
      <c r="O120">
        <f t="shared" si="5"/>
        <v>-1.02644749602628</v>
      </c>
      <c r="P120">
        <v>0.38</v>
      </c>
      <c r="Q120">
        <v>0</v>
      </c>
      <c r="R120">
        <f t="shared" si="6"/>
        <v>333.15</v>
      </c>
      <c r="U120">
        <v>0.001987</v>
      </c>
      <c r="V120">
        <f t="shared" si="7"/>
        <v>0.35</v>
      </c>
      <c r="W120">
        <f t="shared" si="8"/>
        <v>1.65</v>
      </c>
      <c r="X120">
        <f t="shared" si="9"/>
        <v>4.71428571428571</v>
      </c>
      <c r="Y120">
        <v>273.15</v>
      </c>
    </row>
    <row r="121" spans="1:25">
      <c r="A121" t="s">
        <v>183</v>
      </c>
      <c r="B121" t="s">
        <v>179</v>
      </c>
      <c r="C121" t="s">
        <v>24</v>
      </c>
      <c r="D121" t="s">
        <v>45</v>
      </c>
      <c r="E121" t="s">
        <v>46</v>
      </c>
      <c r="F121" t="s">
        <v>47</v>
      </c>
      <c r="G121" t="s">
        <v>180</v>
      </c>
      <c r="H121" t="s">
        <v>29</v>
      </c>
      <c r="I121" t="s">
        <v>48</v>
      </c>
      <c r="J121" t="s">
        <v>49</v>
      </c>
      <c r="L121">
        <v>60</v>
      </c>
      <c r="M121">
        <v>100</v>
      </c>
      <c r="N121">
        <v>0.72</v>
      </c>
      <c r="O121">
        <f t="shared" si="5"/>
        <v>-1.20166577469005</v>
      </c>
      <c r="P121">
        <v>0.45</v>
      </c>
      <c r="Q121">
        <v>0</v>
      </c>
      <c r="R121">
        <f t="shared" si="6"/>
        <v>333.15</v>
      </c>
      <c r="U121">
        <v>0.001987</v>
      </c>
      <c r="V121">
        <f t="shared" si="7"/>
        <v>0.28</v>
      </c>
      <c r="W121">
        <f t="shared" si="8"/>
        <v>1.72</v>
      </c>
      <c r="X121">
        <f t="shared" si="9"/>
        <v>6.14285714285714</v>
      </c>
      <c r="Y121">
        <v>273.15</v>
      </c>
    </row>
    <row r="122" spans="1:25">
      <c r="A122" t="s">
        <v>184</v>
      </c>
      <c r="B122" t="s">
        <v>185</v>
      </c>
      <c r="C122" t="s">
        <v>24</v>
      </c>
      <c r="D122" t="s">
        <v>25</v>
      </c>
      <c r="E122" t="s">
        <v>26</v>
      </c>
      <c r="F122" t="s">
        <v>27</v>
      </c>
      <c r="G122" t="s">
        <v>186</v>
      </c>
      <c r="H122" t="s">
        <v>29</v>
      </c>
      <c r="I122" t="s">
        <v>30</v>
      </c>
      <c r="J122" t="s">
        <v>31</v>
      </c>
      <c r="L122">
        <v>60</v>
      </c>
      <c r="M122">
        <v>50</v>
      </c>
      <c r="N122">
        <v>0.82</v>
      </c>
      <c r="O122">
        <f t="shared" si="5"/>
        <v>-1.53155471611652</v>
      </c>
      <c r="P122">
        <v>1</v>
      </c>
      <c r="Q122">
        <v>0</v>
      </c>
      <c r="R122">
        <f t="shared" si="6"/>
        <v>333.15</v>
      </c>
      <c r="U122">
        <v>0.001987</v>
      </c>
      <c r="V122">
        <f t="shared" si="7"/>
        <v>0.18</v>
      </c>
      <c r="W122">
        <f t="shared" si="8"/>
        <v>1.82</v>
      </c>
      <c r="X122">
        <f t="shared" si="9"/>
        <v>10.1111111111111</v>
      </c>
      <c r="Y122">
        <v>273.15</v>
      </c>
    </row>
    <row r="123" spans="1:25">
      <c r="A123" t="s">
        <v>187</v>
      </c>
      <c r="B123" t="s">
        <v>185</v>
      </c>
      <c r="C123" t="s">
        <v>24</v>
      </c>
      <c r="D123" t="s">
        <v>33</v>
      </c>
      <c r="E123" t="s">
        <v>34</v>
      </c>
      <c r="F123" t="s">
        <v>35</v>
      </c>
      <c r="G123" t="s">
        <v>186</v>
      </c>
      <c r="H123" t="s">
        <v>29</v>
      </c>
      <c r="I123" t="s">
        <v>36</v>
      </c>
      <c r="J123" t="s">
        <v>37</v>
      </c>
      <c r="L123">
        <v>60</v>
      </c>
      <c r="M123">
        <v>50</v>
      </c>
      <c r="N123">
        <v>0.39</v>
      </c>
      <c r="O123">
        <f t="shared" si="5"/>
        <v>-0.545197755227652</v>
      </c>
      <c r="P123">
        <v>1</v>
      </c>
      <c r="Q123">
        <v>0</v>
      </c>
      <c r="R123">
        <f t="shared" si="6"/>
        <v>333.15</v>
      </c>
      <c r="U123">
        <v>0.001987</v>
      </c>
      <c r="V123">
        <f t="shared" si="7"/>
        <v>0.61</v>
      </c>
      <c r="W123">
        <f t="shared" si="8"/>
        <v>1.39</v>
      </c>
      <c r="X123">
        <f t="shared" si="9"/>
        <v>2.27868852459016</v>
      </c>
      <c r="Y123">
        <v>273.15</v>
      </c>
    </row>
    <row r="124" spans="1:25">
      <c r="A124" t="s">
        <v>188</v>
      </c>
      <c r="B124" t="s">
        <v>185</v>
      </c>
      <c r="C124" t="s">
        <v>24</v>
      </c>
      <c r="D124" t="s">
        <v>39</v>
      </c>
      <c r="E124" t="s">
        <v>40</v>
      </c>
      <c r="F124" t="s">
        <v>41</v>
      </c>
      <c r="G124" t="s">
        <v>186</v>
      </c>
      <c r="H124" t="s">
        <v>29</v>
      </c>
      <c r="I124" t="s">
        <v>42</v>
      </c>
      <c r="J124" t="s">
        <v>43</v>
      </c>
      <c r="L124">
        <v>60</v>
      </c>
      <c r="M124">
        <v>50</v>
      </c>
      <c r="N124">
        <v>0.42</v>
      </c>
      <c r="O124">
        <f t="shared" si="5"/>
        <v>-0.592716527014049</v>
      </c>
      <c r="P124">
        <v>1</v>
      </c>
      <c r="Q124">
        <v>0</v>
      </c>
      <c r="R124">
        <f t="shared" si="6"/>
        <v>333.15</v>
      </c>
      <c r="U124">
        <v>0.001987</v>
      </c>
      <c r="V124">
        <f t="shared" si="7"/>
        <v>0.58</v>
      </c>
      <c r="W124">
        <f t="shared" si="8"/>
        <v>1.42</v>
      </c>
      <c r="X124">
        <f t="shared" si="9"/>
        <v>2.44827586206897</v>
      </c>
      <c r="Y124">
        <v>273.15</v>
      </c>
    </row>
    <row r="125" spans="1:25">
      <c r="A125" t="s">
        <v>189</v>
      </c>
      <c r="B125" t="s">
        <v>185</v>
      </c>
      <c r="C125" t="s">
        <v>24</v>
      </c>
      <c r="D125" t="s">
        <v>45</v>
      </c>
      <c r="E125" t="s">
        <v>46</v>
      </c>
      <c r="F125" t="s">
        <v>47</v>
      </c>
      <c r="G125" t="s">
        <v>186</v>
      </c>
      <c r="H125" t="s">
        <v>29</v>
      </c>
      <c r="I125" t="s">
        <v>48</v>
      </c>
      <c r="J125" t="s">
        <v>49</v>
      </c>
      <c r="L125">
        <v>60</v>
      </c>
      <c r="M125">
        <v>50</v>
      </c>
      <c r="N125">
        <v>0.54</v>
      </c>
      <c r="O125">
        <f t="shared" si="5"/>
        <v>-0.799864621090218</v>
      </c>
      <c r="P125">
        <v>1</v>
      </c>
      <c r="Q125">
        <v>0</v>
      </c>
      <c r="R125">
        <f t="shared" si="6"/>
        <v>333.15</v>
      </c>
      <c r="U125">
        <v>0.001987</v>
      </c>
      <c r="V125">
        <f t="shared" si="7"/>
        <v>0.46</v>
      </c>
      <c r="W125">
        <f t="shared" si="8"/>
        <v>1.54</v>
      </c>
      <c r="X125">
        <f t="shared" si="9"/>
        <v>3.34782608695652</v>
      </c>
      <c r="Y125">
        <v>273.15</v>
      </c>
    </row>
    <row r="126" spans="1:25">
      <c r="A126" t="s">
        <v>190</v>
      </c>
      <c r="B126" t="s">
        <v>185</v>
      </c>
      <c r="C126" t="s">
        <v>24</v>
      </c>
      <c r="D126" t="s">
        <v>25</v>
      </c>
      <c r="E126" t="s">
        <v>26</v>
      </c>
      <c r="F126" t="s">
        <v>27</v>
      </c>
      <c r="G126" t="s">
        <v>186</v>
      </c>
      <c r="H126" t="s">
        <v>29</v>
      </c>
      <c r="I126" t="s">
        <v>30</v>
      </c>
      <c r="J126" t="s">
        <v>31</v>
      </c>
      <c r="L126">
        <v>60</v>
      </c>
      <c r="M126">
        <v>100</v>
      </c>
      <c r="N126">
        <v>0.79</v>
      </c>
      <c r="O126">
        <f t="shared" si="5"/>
        <v>-1.41850922807243</v>
      </c>
      <c r="P126">
        <v>1</v>
      </c>
      <c r="Q126">
        <v>0</v>
      </c>
      <c r="R126">
        <f t="shared" si="6"/>
        <v>333.15</v>
      </c>
      <c r="U126">
        <v>0.001987</v>
      </c>
      <c r="V126">
        <f t="shared" si="7"/>
        <v>0.21</v>
      </c>
      <c r="W126">
        <f t="shared" si="8"/>
        <v>1.79</v>
      </c>
      <c r="X126">
        <f t="shared" si="9"/>
        <v>8.52380952380953</v>
      </c>
      <c r="Y126">
        <v>273.15</v>
      </c>
    </row>
    <row r="127" spans="1:25">
      <c r="A127" t="s">
        <v>191</v>
      </c>
      <c r="B127" t="s">
        <v>185</v>
      </c>
      <c r="C127" t="s">
        <v>24</v>
      </c>
      <c r="D127" t="s">
        <v>33</v>
      </c>
      <c r="E127" t="s">
        <v>34</v>
      </c>
      <c r="F127" t="s">
        <v>35</v>
      </c>
      <c r="G127" t="s">
        <v>186</v>
      </c>
      <c r="H127" t="s">
        <v>29</v>
      </c>
      <c r="I127" t="s">
        <v>36</v>
      </c>
      <c r="J127" t="s">
        <v>37</v>
      </c>
      <c r="L127">
        <v>60</v>
      </c>
      <c r="M127">
        <v>100</v>
      </c>
      <c r="N127">
        <v>0.24</v>
      </c>
      <c r="O127">
        <f t="shared" si="5"/>
        <v>-0.32406577364341</v>
      </c>
      <c r="P127">
        <v>1</v>
      </c>
      <c r="Q127">
        <v>0</v>
      </c>
      <c r="R127">
        <f t="shared" si="6"/>
        <v>333.15</v>
      </c>
      <c r="U127">
        <v>0.001987</v>
      </c>
      <c r="V127">
        <f t="shared" si="7"/>
        <v>0.76</v>
      </c>
      <c r="W127">
        <f t="shared" si="8"/>
        <v>1.24</v>
      </c>
      <c r="X127">
        <f t="shared" si="9"/>
        <v>1.63157894736842</v>
      </c>
      <c r="Y127">
        <v>273.15</v>
      </c>
    </row>
    <row r="128" spans="1:25">
      <c r="A128" t="s">
        <v>192</v>
      </c>
      <c r="B128" t="s">
        <v>185</v>
      </c>
      <c r="C128" t="s">
        <v>24</v>
      </c>
      <c r="D128" t="s">
        <v>39</v>
      </c>
      <c r="E128" t="s">
        <v>40</v>
      </c>
      <c r="F128" t="s">
        <v>41</v>
      </c>
      <c r="G128" t="s">
        <v>186</v>
      </c>
      <c r="H128" t="s">
        <v>29</v>
      </c>
      <c r="I128" t="s">
        <v>42</v>
      </c>
      <c r="J128" t="s">
        <v>43</v>
      </c>
      <c r="L128">
        <v>60</v>
      </c>
      <c r="M128">
        <v>100</v>
      </c>
      <c r="N128">
        <v>0.72</v>
      </c>
      <c r="O128">
        <f t="shared" si="5"/>
        <v>-1.20166577469005</v>
      </c>
      <c r="P128">
        <v>1</v>
      </c>
      <c r="Q128">
        <v>0</v>
      </c>
      <c r="R128">
        <f t="shared" si="6"/>
        <v>333.15</v>
      </c>
      <c r="U128">
        <v>0.001987</v>
      </c>
      <c r="V128">
        <f t="shared" si="7"/>
        <v>0.28</v>
      </c>
      <c r="W128">
        <f t="shared" si="8"/>
        <v>1.72</v>
      </c>
      <c r="X128">
        <f t="shared" si="9"/>
        <v>6.14285714285714</v>
      </c>
      <c r="Y128">
        <v>273.15</v>
      </c>
    </row>
    <row r="129" spans="1:25">
      <c r="A129" t="s">
        <v>193</v>
      </c>
      <c r="B129" t="s">
        <v>185</v>
      </c>
      <c r="C129" t="s">
        <v>24</v>
      </c>
      <c r="D129" t="s">
        <v>45</v>
      </c>
      <c r="E129" t="s">
        <v>46</v>
      </c>
      <c r="F129" t="s">
        <v>47</v>
      </c>
      <c r="G129" t="s">
        <v>186</v>
      </c>
      <c r="H129" t="s">
        <v>29</v>
      </c>
      <c r="I129" t="s">
        <v>48</v>
      </c>
      <c r="J129" t="s">
        <v>49</v>
      </c>
      <c r="L129">
        <v>60</v>
      </c>
      <c r="M129">
        <v>100</v>
      </c>
      <c r="N129">
        <v>0.79</v>
      </c>
      <c r="O129">
        <f t="shared" si="5"/>
        <v>-1.41850922807243</v>
      </c>
      <c r="P129">
        <v>1</v>
      </c>
      <c r="Q129">
        <v>0</v>
      </c>
      <c r="R129">
        <f t="shared" si="6"/>
        <v>333.15</v>
      </c>
      <c r="U129">
        <v>0.001987</v>
      </c>
      <c r="V129">
        <f t="shared" si="7"/>
        <v>0.21</v>
      </c>
      <c r="W129">
        <f t="shared" si="8"/>
        <v>1.79</v>
      </c>
      <c r="X129">
        <f t="shared" si="9"/>
        <v>8.52380952380953</v>
      </c>
      <c r="Y129">
        <v>273.15</v>
      </c>
    </row>
    <row r="130" spans="1:25">
      <c r="A130" t="s">
        <v>194</v>
      </c>
      <c r="B130" t="s">
        <v>195</v>
      </c>
      <c r="C130" t="s">
        <v>24</v>
      </c>
      <c r="D130" t="s">
        <v>25</v>
      </c>
      <c r="E130" t="s">
        <v>26</v>
      </c>
      <c r="F130" t="s">
        <v>27</v>
      </c>
      <c r="G130" t="s">
        <v>196</v>
      </c>
      <c r="H130" t="s">
        <v>29</v>
      </c>
      <c r="I130" t="s">
        <v>30</v>
      </c>
      <c r="J130" t="s">
        <v>31</v>
      </c>
      <c r="L130">
        <v>60</v>
      </c>
      <c r="M130">
        <v>100</v>
      </c>
      <c r="N130">
        <v>0.81</v>
      </c>
      <c r="O130">
        <f t="shared" si="5"/>
        <v>-1.49211666739308</v>
      </c>
      <c r="P130">
        <v>1</v>
      </c>
      <c r="Q130">
        <v>0</v>
      </c>
      <c r="R130">
        <f t="shared" si="6"/>
        <v>333.15</v>
      </c>
      <c r="U130">
        <v>0.001987</v>
      </c>
      <c r="V130">
        <f t="shared" si="7"/>
        <v>0.19</v>
      </c>
      <c r="W130">
        <f t="shared" si="8"/>
        <v>1.81</v>
      </c>
      <c r="X130">
        <f t="shared" si="9"/>
        <v>9.52631578947369</v>
      </c>
      <c r="Y130">
        <v>273.15</v>
      </c>
    </row>
    <row r="131" spans="1:25">
      <c r="A131" t="s">
        <v>197</v>
      </c>
      <c r="B131" t="s">
        <v>195</v>
      </c>
      <c r="C131" t="s">
        <v>24</v>
      </c>
      <c r="D131" t="s">
        <v>33</v>
      </c>
      <c r="E131" t="s">
        <v>34</v>
      </c>
      <c r="F131" t="s">
        <v>35</v>
      </c>
      <c r="G131" t="s">
        <v>196</v>
      </c>
      <c r="H131" t="s">
        <v>29</v>
      </c>
      <c r="I131" t="s">
        <v>36</v>
      </c>
      <c r="J131" t="s">
        <v>37</v>
      </c>
      <c r="L131">
        <v>60</v>
      </c>
      <c r="M131">
        <v>100</v>
      </c>
      <c r="N131">
        <v>0.17</v>
      </c>
      <c r="O131">
        <f t="shared" ref="O131:O194" si="10">-U131*R131*LN(X131)</f>
        <v>-0.227276036308296</v>
      </c>
      <c r="P131">
        <v>1</v>
      </c>
      <c r="Q131">
        <v>0</v>
      </c>
      <c r="R131">
        <f t="shared" ref="R131:R194" si="11">L131+Y131</f>
        <v>333.15</v>
      </c>
      <c r="U131">
        <v>0.001987</v>
      </c>
      <c r="V131">
        <f t="shared" ref="V131:V194" si="12">1-N131</f>
        <v>0.83</v>
      </c>
      <c r="W131">
        <f t="shared" ref="W131:W194" si="13">1+N131</f>
        <v>1.17</v>
      </c>
      <c r="X131">
        <f t="shared" ref="X131:X194" si="14">W131/V131</f>
        <v>1.40963855421687</v>
      </c>
      <c r="Y131">
        <v>273.15</v>
      </c>
    </row>
    <row r="132" spans="1:25">
      <c r="A132" t="s">
        <v>198</v>
      </c>
      <c r="B132" t="s">
        <v>195</v>
      </c>
      <c r="C132" t="s">
        <v>24</v>
      </c>
      <c r="D132" t="s">
        <v>39</v>
      </c>
      <c r="E132" t="s">
        <v>40</v>
      </c>
      <c r="F132" t="s">
        <v>41</v>
      </c>
      <c r="G132" t="s">
        <v>196</v>
      </c>
      <c r="H132" t="s">
        <v>29</v>
      </c>
      <c r="I132" t="s">
        <v>42</v>
      </c>
      <c r="J132" t="s">
        <v>43</v>
      </c>
      <c r="L132">
        <v>60</v>
      </c>
      <c r="M132">
        <v>100</v>
      </c>
      <c r="N132">
        <v>0.4</v>
      </c>
      <c r="O132">
        <f t="shared" si="10"/>
        <v>-0.56088495970755</v>
      </c>
      <c r="P132">
        <v>0.92</v>
      </c>
      <c r="Q132">
        <v>0</v>
      </c>
      <c r="R132">
        <f t="shared" si="11"/>
        <v>333.15</v>
      </c>
      <c r="U132">
        <v>0.001987</v>
      </c>
      <c r="V132">
        <f t="shared" si="12"/>
        <v>0.6</v>
      </c>
      <c r="W132">
        <f t="shared" si="13"/>
        <v>1.4</v>
      </c>
      <c r="X132">
        <f t="shared" si="14"/>
        <v>2.33333333333333</v>
      </c>
      <c r="Y132">
        <v>273.15</v>
      </c>
    </row>
    <row r="133" spans="1:25">
      <c r="A133" t="s">
        <v>199</v>
      </c>
      <c r="B133" t="s">
        <v>195</v>
      </c>
      <c r="C133" t="s">
        <v>24</v>
      </c>
      <c r="D133" t="s">
        <v>45</v>
      </c>
      <c r="E133" t="s">
        <v>46</v>
      </c>
      <c r="F133" t="s">
        <v>47</v>
      </c>
      <c r="G133" t="s">
        <v>196</v>
      </c>
      <c r="H133" t="s">
        <v>29</v>
      </c>
      <c r="I133" t="s">
        <v>48</v>
      </c>
      <c r="J133" t="s">
        <v>49</v>
      </c>
      <c r="L133">
        <v>60</v>
      </c>
      <c r="M133">
        <v>100</v>
      </c>
      <c r="N133">
        <v>0.59</v>
      </c>
      <c r="O133">
        <f t="shared" si="10"/>
        <v>-0.897187926181947</v>
      </c>
      <c r="P133">
        <v>0.97</v>
      </c>
      <c r="Q133">
        <v>0</v>
      </c>
      <c r="R133">
        <f t="shared" si="11"/>
        <v>333.15</v>
      </c>
      <c r="U133">
        <v>0.001987</v>
      </c>
      <c r="V133">
        <f t="shared" si="12"/>
        <v>0.41</v>
      </c>
      <c r="W133">
        <f t="shared" si="13"/>
        <v>1.59</v>
      </c>
      <c r="X133">
        <f t="shared" si="14"/>
        <v>3.8780487804878</v>
      </c>
      <c r="Y133">
        <v>273.15</v>
      </c>
    </row>
    <row r="134" spans="1:25">
      <c r="A134" t="s">
        <v>200</v>
      </c>
      <c r="B134" t="s">
        <v>201</v>
      </c>
      <c r="C134" t="s">
        <v>24</v>
      </c>
      <c r="D134" t="s">
        <v>25</v>
      </c>
      <c r="E134" t="s">
        <v>26</v>
      </c>
      <c r="F134" t="s">
        <v>27</v>
      </c>
      <c r="G134" t="s">
        <v>202</v>
      </c>
      <c r="H134" t="s">
        <v>29</v>
      </c>
      <c r="I134" t="s">
        <v>30</v>
      </c>
      <c r="J134" t="s">
        <v>31</v>
      </c>
      <c r="L134">
        <v>60</v>
      </c>
      <c r="M134">
        <v>50</v>
      </c>
      <c r="N134">
        <v>0.79</v>
      </c>
      <c r="O134">
        <f t="shared" si="10"/>
        <v>-1.41850922807243</v>
      </c>
      <c r="P134">
        <v>1</v>
      </c>
      <c r="Q134">
        <v>0</v>
      </c>
      <c r="R134">
        <f t="shared" si="11"/>
        <v>333.15</v>
      </c>
      <c r="U134">
        <v>0.001987</v>
      </c>
      <c r="V134">
        <f t="shared" si="12"/>
        <v>0.21</v>
      </c>
      <c r="W134">
        <f t="shared" si="13"/>
        <v>1.79</v>
      </c>
      <c r="X134">
        <f t="shared" si="14"/>
        <v>8.52380952380953</v>
      </c>
      <c r="Y134">
        <v>273.15</v>
      </c>
    </row>
    <row r="135" spans="1:25">
      <c r="A135" t="s">
        <v>203</v>
      </c>
      <c r="B135" t="s">
        <v>201</v>
      </c>
      <c r="C135" t="s">
        <v>24</v>
      </c>
      <c r="D135" t="s">
        <v>33</v>
      </c>
      <c r="E135" t="s">
        <v>34</v>
      </c>
      <c r="F135" t="s">
        <v>35</v>
      </c>
      <c r="G135" t="s">
        <v>202</v>
      </c>
      <c r="H135" t="s">
        <v>29</v>
      </c>
      <c r="I135" t="s">
        <v>36</v>
      </c>
      <c r="J135" t="s">
        <v>37</v>
      </c>
      <c r="L135">
        <v>60</v>
      </c>
      <c r="M135">
        <v>50</v>
      </c>
      <c r="N135">
        <v>0.09</v>
      </c>
      <c r="O135">
        <f t="shared" si="10"/>
        <v>-0.11947771860631</v>
      </c>
      <c r="P135">
        <v>1</v>
      </c>
      <c r="Q135">
        <v>0</v>
      </c>
      <c r="R135">
        <f t="shared" si="11"/>
        <v>333.15</v>
      </c>
      <c r="U135">
        <v>0.001987</v>
      </c>
      <c r="V135">
        <f t="shared" si="12"/>
        <v>0.91</v>
      </c>
      <c r="W135">
        <f t="shared" si="13"/>
        <v>1.09</v>
      </c>
      <c r="X135">
        <f t="shared" si="14"/>
        <v>1.1978021978022</v>
      </c>
      <c r="Y135">
        <v>273.15</v>
      </c>
    </row>
    <row r="136" spans="1:25">
      <c r="A136" t="s">
        <v>204</v>
      </c>
      <c r="B136" t="s">
        <v>201</v>
      </c>
      <c r="C136" t="s">
        <v>24</v>
      </c>
      <c r="D136" t="s">
        <v>39</v>
      </c>
      <c r="E136" t="s">
        <v>40</v>
      </c>
      <c r="F136" t="s">
        <v>41</v>
      </c>
      <c r="G136" t="s">
        <v>202</v>
      </c>
      <c r="H136" t="s">
        <v>29</v>
      </c>
      <c r="I136" t="s">
        <v>42</v>
      </c>
      <c r="J136" t="s">
        <v>43</v>
      </c>
      <c r="L136">
        <v>60</v>
      </c>
      <c r="M136">
        <v>50</v>
      </c>
      <c r="N136">
        <v>0.25</v>
      </c>
      <c r="O136">
        <f t="shared" si="10"/>
        <v>-0.33815075288003</v>
      </c>
      <c r="P136">
        <v>1</v>
      </c>
      <c r="Q136">
        <v>0</v>
      </c>
      <c r="R136">
        <f t="shared" si="11"/>
        <v>333.15</v>
      </c>
      <c r="U136">
        <v>0.001987</v>
      </c>
      <c r="V136">
        <f t="shared" si="12"/>
        <v>0.75</v>
      </c>
      <c r="W136">
        <f t="shared" si="13"/>
        <v>1.25</v>
      </c>
      <c r="X136">
        <f t="shared" si="14"/>
        <v>1.66666666666667</v>
      </c>
      <c r="Y136">
        <v>273.15</v>
      </c>
    </row>
    <row r="137" spans="1:25">
      <c r="A137" t="s">
        <v>205</v>
      </c>
      <c r="B137" t="s">
        <v>201</v>
      </c>
      <c r="C137" t="s">
        <v>24</v>
      </c>
      <c r="D137" t="s">
        <v>45</v>
      </c>
      <c r="E137" t="s">
        <v>46</v>
      </c>
      <c r="F137" t="s">
        <v>47</v>
      </c>
      <c r="G137" t="s">
        <v>202</v>
      </c>
      <c r="H137" t="s">
        <v>29</v>
      </c>
      <c r="I137" t="s">
        <v>48</v>
      </c>
      <c r="J137" t="s">
        <v>49</v>
      </c>
      <c r="L137">
        <v>60</v>
      </c>
      <c r="M137">
        <v>50</v>
      </c>
      <c r="N137">
        <v>0.48</v>
      </c>
      <c r="O137">
        <f t="shared" si="10"/>
        <v>-0.692398810804156</v>
      </c>
      <c r="P137">
        <v>1</v>
      </c>
      <c r="Q137">
        <v>0</v>
      </c>
      <c r="R137">
        <f t="shared" si="11"/>
        <v>333.15</v>
      </c>
      <c r="U137">
        <v>0.001987</v>
      </c>
      <c r="V137">
        <f t="shared" si="12"/>
        <v>0.52</v>
      </c>
      <c r="W137">
        <f t="shared" si="13"/>
        <v>1.48</v>
      </c>
      <c r="X137">
        <f t="shared" si="14"/>
        <v>2.84615384615385</v>
      </c>
      <c r="Y137">
        <v>273.15</v>
      </c>
    </row>
    <row r="138" spans="1:25">
      <c r="A138" t="s">
        <v>206</v>
      </c>
      <c r="B138" t="s">
        <v>201</v>
      </c>
      <c r="C138" t="s">
        <v>24</v>
      </c>
      <c r="D138" t="s">
        <v>25</v>
      </c>
      <c r="E138" t="s">
        <v>26</v>
      </c>
      <c r="F138" t="s">
        <v>27</v>
      </c>
      <c r="G138" t="s">
        <v>202</v>
      </c>
      <c r="H138" t="s">
        <v>29</v>
      </c>
      <c r="I138" t="s">
        <v>30</v>
      </c>
      <c r="J138" t="s">
        <v>31</v>
      </c>
      <c r="L138">
        <v>60</v>
      </c>
      <c r="M138">
        <v>100</v>
      </c>
      <c r="N138">
        <v>0.79</v>
      </c>
      <c r="O138">
        <f t="shared" si="10"/>
        <v>-1.41850922807243</v>
      </c>
      <c r="P138">
        <v>1</v>
      </c>
      <c r="Q138">
        <v>0</v>
      </c>
      <c r="R138">
        <f t="shared" si="11"/>
        <v>333.15</v>
      </c>
      <c r="U138">
        <v>0.001987</v>
      </c>
      <c r="V138">
        <f t="shared" si="12"/>
        <v>0.21</v>
      </c>
      <c r="W138">
        <f t="shared" si="13"/>
        <v>1.79</v>
      </c>
      <c r="X138">
        <f t="shared" si="14"/>
        <v>8.52380952380953</v>
      </c>
      <c r="Y138">
        <v>273.15</v>
      </c>
    </row>
    <row r="139" spans="1:25">
      <c r="A139" t="s">
        <v>207</v>
      </c>
      <c r="B139" t="s">
        <v>201</v>
      </c>
      <c r="C139" t="s">
        <v>24</v>
      </c>
      <c r="D139" t="s">
        <v>33</v>
      </c>
      <c r="E139" t="s">
        <v>34</v>
      </c>
      <c r="F139" t="s">
        <v>35</v>
      </c>
      <c r="G139" t="s">
        <v>202</v>
      </c>
      <c r="H139" t="s">
        <v>29</v>
      </c>
      <c r="I139" t="s">
        <v>36</v>
      </c>
      <c r="J139" t="s">
        <v>37</v>
      </c>
      <c r="L139">
        <v>60</v>
      </c>
      <c r="M139">
        <v>100</v>
      </c>
      <c r="N139">
        <v>0.13</v>
      </c>
      <c r="O139">
        <f t="shared" si="10"/>
        <v>-0.173091468641518</v>
      </c>
      <c r="P139">
        <v>1</v>
      </c>
      <c r="Q139">
        <v>0</v>
      </c>
      <c r="R139">
        <f t="shared" si="11"/>
        <v>333.15</v>
      </c>
      <c r="U139">
        <v>0.001987</v>
      </c>
      <c r="V139">
        <f t="shared" si="12"/>
        <v>0.87</v>
      </c>
      <c r="W139">
        <f t="shared" si="13"/>
        <v>1.13</v>
      </c>
      <c r="X139">
        <f t="shared" si="14"/>
        <v>1.29885057471264</v>
      </c>
      <c r="Y139">
        <v>273.15</v>
      </c>
    </row>
    <row r="140" spans="1:25">
      <c r="A140" t="s">
        <v>208</v>
      </c>
      <c r="B140" t="s">
        <v>201</v>
      </c>
      <c r="C140" t="s">
        <v>24</v>
      </c>
      <c r="D140" t="s">
        <v>39</v>
      </c>
      <c r="E140" t="s">
        <v>40</v>
      </c>
      <c r="F140" t="s">
        <v>41</v>
      </c>
      <c r="G140" t="s">
        <v>202</v>
      </c>
      <c r="H140" t="s">
        <v>29</v>
      </c>
      <c r="I140" t="s">
        <v>42</v>
      </c>
      <c r="J140" t="s">
        <v>43</v>
      </c>
      <c r="L140">
        <v>60</v>
      </c>
      <c r="M140">
        <v>100</v>
      </c>
      <c r="N140">
        <v>0.39</v>
      </c>
      <c r="O140">
        <f t="shared" si="10"/>
        <v>-0.545197755227652</v>
      </c>
      <c r="P140">
        <v>1</v>
      </c>
      <c r="Q140">
        <v>0</v>
      </c>
      <c r="R140">
        <f t="shared" si="11"/>
        <v>333.15</v>
      </c>
      <c r="U140">
        <v>0.001987</v>
      </c>
      <c r="V140">
        <f t="shared" si="12"/>
        <v>0.61</v>
      </c>
      <c r="W140">
        <f t="shared" si="13"/>
        <v>1.39</v>
      </c>
      <c r="X140">
        <f t="shared" si="14"/>
        <v>2.27868852459016</v>
      </c>
      <c r="Y140">
        <v>273.15</v>
      </c>
    </row>
    <row r="141" spans="1:25">
      <c r="A141" t="s">
        <v>209</v>
      </c>
      <c r="B141" t="s">
        <v>201</v>
      </c>
      <c r="C141" t="s">
        <v>24</v>
      </c>
      <c r="D141" t="s">
        <v>45</v>
      </c>
      <c r="E141" t="s">
        <v>46</v>
      </c>
      <c r="F141" t="s">
        <v>47</v>
      </c>
      <c r="G141" t="s">
        <v>202</v>
      </c>
      <c r="H141" t="s">
        <v>29</v>
      </c>
      <c r="I141" t="s">
        <v>48</v>
      </c>
      <c r="J141" t="s">
        <v>49</v>
      </c>
      <c r="L141">
        <v>60</v>
      </c>
      <c r="M141">
        <v>100</v>
      </c>
      <c r="N141">
        <v>0.56</v>
      </c>
      <c r="O141">
        <f t="shared" si="10"/>
        <v>-0.83783196677105</v>
      </c>
      <c r="P141">
        <v>1</v>
      </c>
      <c r="Q141">
        <v>0</v>
      </c>
      <c r="R141">
        <f t="shared" si="11"/>
        <v>333.15</v>
      </c>
      <c r="U141">
        <v>0.001987</v>
      </c>
      <c r="V141">
        <f t="shared" si="12"/>
        <v>0.44</v>
      </c>
      <c r="W141">
        <f t="shared" si="13"/>
        <v>1.56</v>
      </c>
      <c r="X141">
        <f t="shared" si="14"/>
        <v>3.54545454545455</v>
      </c>
      <c r="Y141">
        <v>273.15</v>
      </c>
    </row>
    <row r="142" spans="1:25">
      <c r="A142" t="s">
        <v>210</v>
      </c>
      <c r="B142" t="s">
        <v>211</v>
      </c>
      <c r="C142" t="s">
        <v>24</v>
      </c>
      <c r="D142" t="s">
        <v>25</v>
      </c>
      <c r="E142" t="s">
        <v>26</v>
      </c>
      <c r="F142" t="s">
        <v>27</v>
      </c>
      <c r="G142" t="s">
        <v>212</v>
      </c>
      <c r="H142" t="s">
        <v>29</v>
      </c>
      <c r="I142" t="s">
        <v>30</v>
      </c>
      <c r="J142" t="s">
        <v>31</v>
      </c>
      <c r="L142">
        <v>60</v>
      </c>
      <c r="M142">
        <v>10</v>
      </c>
      <c r="N142">
        <v>0.84</v>
      </c>
      <c r="O142">
        <f t="shared" si="10"/>
        <v>-1.61675814677367</v>
      </c>
      <c r="P142">
        <v>1</v>
      </c>
      <c r="Q142">
        <v>0</v>
      </c>
      <c r="R142">
        <f t="shared" si="11"/>
        <v>333.15</v>
      </c>
      <c r="U142">
        <v>0.001987</v>
      </c>
      <c r="V142">
        <f t="shared" si="12"/>
        <v>0.16</v>
      </c>
      <c r="W142">
        <f t="shared" si="13"/>
        <v>1.84</v>
      </c>
      <c r="X142">
        <f t="shared" si="14"/>
        <v>11.5</v>
      </c>
      <c r="Y142">
        <v>273.15</v>
      </c>
    </row>
    <row r="143" spans="1:25">
      <c r="A143" t="s">
        <v>213</v>
      </c>
      <c r="B143" t="s">
        <v>211</v>
      </c>
      <c r="C143" t="s">
        <v>24</v>
      </c>
      <c r="D143" t="s">
        <v>33</v>
      </c>
      <c r="E143" t="s">
        <v>34</v>
      </c>
      <c r="F143" t="s">
        <v>35</v>
      </c>
      <c r="G143" t="s">
        <v>212</v>
      </c>
      <c r="H143" t="s">
        <v>29</v>
      </c>
      <c r="I143" t="s">
        <v>36</v>
      </c>
      <c r="J143" t="s">
        <v>37</v>
      </c>
      <c r="L143">
        <v>60</v>
      </c>
      <c r="M143">
        <v>10</v>
      </c>
      <c r="N143">
        <v>0.69</v>
      </c>
      <c r="O143">
        <f t="shared" si="10"/>
        <v>-1.12264093144866</v>
      </c>
      <c r="P143">
        <v>0.97</v>
      </c>
      <c r="Q143">
        <v>0</v>
      </c>
      <c r="R143">
        <f t="shared" si="11"/>
        <v>333.15</v>
      </c>
      <c r="U143">
        <v>0.001987</v>
      </c>
      <c r="V143">
        <f t="shared" si="12"/>
        <v>0.31</v>
      </c>
      <c r="W143">
        <f t="shared" si="13"/>
        <v>1.69</v>
      </c>
      <c r="X143">
        <f t="shared" si="14"/>
        <v>5.45161290322581</v>
      </c>
      <c r="Y143">
        <v>273.15</v>
      </c>
    </row>
    <row r="144" spans="1:25">
      <c r="A144" t="s">
        <v>214</v>
      </c>
      <c r="B144" t="s">
        <v>211</v>
      </c>
      <c r="C144" t="s">
        <v>24</v>
      </c>
      <c r="D144" t="s">
        <v>39</v>
      </c>
      <c r="E144" t="s">
        <v>40</v>
      </c>
      <c r="F144" t="s">
        <v>41</v>
      </c>
      <c r="G144" t="s">
        <v>212</v>
      </c>
      <c r="H144" t="s">
        <v>29</v>
      </c>
      <c r="I144" t="s">
        <v>42</v>
      </c>
      <c r="J144" t="s">
        <v>43</v>
      </c>
      <c r="L144">
        <v>60</v>
      </c>
      <c r="M144">
        <v>10</v>
      </c>
      <c r="N144">
        <v>0.07</v>
      </c>
      <c r="O144">
        <f t="shared" si="10"/>
        <v>-0.092827483848213</v>
      </c>
      <c r="P144">
        <v>1</v>
      </c>
      <c r="Q144">
        <v>0</v>
      </c>
      <c r="R144">
        <f t="shared" si="11"/>
        <v>333.15</v>
      </c>
      <c r="U144">
        <v>0.001987</v>
      </c>
      <c r="V144">
        <f t="shared" si="12"/>
        <v>0.93</v>
      </c>
      <c r="W144">
        <f t="shared" si="13"/>
        <v>1.07</v>
      </c>
      <c r="X144">
        <f t="shared" si="14"/>
        <v>1.1505376344086</v>
      </c>
      <c r="Y144">
        <v>273.15</v>
      </c>
    </row>
    <row r="145" spans="1:25">
      <c r="A145" t="s">
        <v>215</v>
      </c>
      <c r="B145" t="s">
        <v>211</v>
      </c>
      <c r="C145" t="s">
        <v>24</v>
      </c>
      <c r="D145" t="s">
        <v>45</v>
      </c>
      <c r="E145" t="s">
        <v>46</v>
      </c>
      <c r="F145" t="s">
        <v>47</v>
      </c>
      <c r="G145" t="s">
        <v>212</v>
      </c>
      <c r="H145" t="s">
        <v>29</v>
      </c>
      <c r="I145" t="s">
        <v>48</v>
      </c>
      <c r="J145" t="s">
        <v>49</v>
      </c>
      <c r="L145">
        <v>60</v>
      </c>
      <c r="M145">
        <v>10</v>
      </c>
      <c r="N145">
        <v>0.17</v>
      </c>
      <c r="O145">
        <f t="shared" si="10"/>
        <v>-0.227276036308296</v>
      </c>
      <c r="P145">
        <v>1</v>
      </c>
      <c r="Q145">
        <v>0</v>
      </c>
      <c r="R145">
        <f t="shared" si="11"/>
        <v>333.15</v>
      </c>
      <c r="U145">
        <v>0.001987</v>
      </c>
      <c r="V145">
        <f t="shared" si="12"/>
        <v>0.83</v>
      </c>
      <c r="W145">
        <f t="shared" si="13"/>
        <v>1.17</v>
      </c>
      <c r="X145">
        <f t="shared" si="14"/>
        <v>1.40963855421687</v>
      </c>
      <c r="Y145">
        <v>273.15</v>
      </c>
    </row>
    <row r="146" spans="1:25">
      <c r="A146" t="s">
        <v>216</v>
      </c>
      <c r="B146" t="s">
        <v>211</v>
      </c>
      <c r="C146" t="s">
        <v>24</v>
      </c>
      <c r="D146" t="s">
        <v>25</v>
      </c>
      <c r="E146" t="s">
        <v>26</v>
      </c>
      <c r="F146" t="s">
        <v>27</v>
      </c>
      <c r="G146" t="s">
        <v>212</v>
      </c>
      <c r="H146" t="s">
        <v>29</v>
      </c>
      <c r="I146" t="s">
        <v>30</v>
      </c>
      <c r="J146" t="s">
        <v>31</v>
      </c>
      <c r="L146">
        <v>60</v>
      </c>
      <c r="M146">
        <v>50</v>
      </c>
      <c r="N146">
        <v>0.85</v>
      </c>
      <c r="O146">
        <f t="shared" si="10"/>
        <v>-1.66306856721313</v>
      </c>
      <c r="P146">
        <v>1</v>
      </c>
      <c r="Q146">
        <v>0</v>
      </c>
      <c r="R146">
        <f t="shared" si="11"/>
        <v>333.15</v>
      </c>
      <c r="U146">
        <v>0.001987</v>
      </c>
      <c r="V146">
        <f t="shared" si="12"/>
        <v>0.15</v>
      </c>
      <c r="W146">
        <f t="shared" si="13"/>
        <v>1.85</v>
      </c>
      <c r="X146">
        <f t="shared" si="14"/>
        <v>12.3333333333333</v>
      </c>
      <c r="Y146">
        <v>273.15</v>
      </c>
    </row>
    <row r="147" spans="1:25">
      <c r="A147" t="s">
        <v>217</v>
      </c>
      <c r="B147" t="s">
        <v>211</v>
      </c>
      <c r="C147" t="s">
        <v>24</v>
      </c>
      <c r="D147" t="s">
        <v>33</v>
      </c>
      <c r="E147" t="s">
        <v>34</v>
      </c>
      <c r="F147" t="s">
        <v>35</v>
      </c>
      <c r="G147" t="s">
        <v>212</v>
      </c>
      <c r="H147" t="s">
        <v>29</v>
      </c>
      <c r="I147" t="s">
        <v>36</v>
      </c>
      <c r="J147" t="s">
        <v>37</v>
      </c>
      <c r="L147">
        <v>60</v>
      </c>
      <c r="M147">
        <v>50</v>
      </c>
      <c r="N147">
        <v>0.7</v>
      </c>
      <c r="O147">
        <f t="shared" si="10"/>
        <v>-1.14825221276426</v>
      </c>
      <c r="P147">
        <v>1</v>
      </c>
      <c r="Q147">
        <v>0</v>
      </c>
      <c r="R147">
        <f t="shared" si="11"/>
        <v>333.15</v>
      </c>
      <c r="U147">
        <v>0.001987</v>
      </c>
      <c r="V147">
        <f t="shared" si="12"/>
        <v>0.3</v>
      </c>
      <c r="W147">
        <f t="shared" si="13"/>
        <v>1.7</v>
      </c>
      <c r="X147">
        <f t="shared" si="14"/>
        <v>5.66666666666667</v>
      </c>
      <c r="Y147">
        <v>273.15</v>
      </c>
    </row>
    <row r="148" spans="1:25">
      <c r="A148" t="s">
        <v>218</v>
      </c>
      <c r="B148" t="s">
        <v>211</v>
      </c>
      <c r="C148" t="s">
        <v>24</v>
      </c>
      <c r="D148" t="s">
        <v>39</v>
      </c>
      <c r="E148" t="s">
        <v>40</v>
      </c>
      <c r="F148" t="s">
        <v>41</v>
      </c>
      <c r="G148" t="s">
        <v>212</v>
      </c>
      <c r="H148" t="s">
        <v>29</v>
      </c>
      <c r="I148" t="s">
        <v>42</v>
      </c>
      <c r="J148" t="s">
        <v>43</v>
      </c>
      <c r="L148">
        <v>60</v>
      </c>
      <c r="M148">
        <v>50</v>
      </c>
      <c r="N148">
        <v>0.47</v>
      </c>
      <c r="O148">
        <f t="shared" si="10"/>
        <v>-0.675301552322182</v>
      </c>
      <c r="P148">
        <v>1</v>
      </c>
      <c r="Q148">
        <v>0</v>
      </c>
      <c r="R148">
        <f t="shared" si="11"/>
        <v>333.15</v>
      </c>
      <c r="U148">
        <v>0.001987</v>
      </c>
      <c r="V148">
        <f t="shared" si="12"/>
        <v>0.53</v>
      </c>
      <c r="W148">
        <f t="shared" si="13"/>
        <v>1.47</v>
      </c>
      <c r="X148">
        <f t="shared" si="14"/>
        <v>2.77358490566038</v>
      </c>
      <c r="Y148">
        <v>273.15</v>
      </c>
    </row>
    <row r="149" spans="1:25">
      <c r="A149" t="s">
        <v>219</v>
      </c>
      <c r="B149" t="s">
        <v>211</v>
      </c>
      <c r="C149" t="s">
        <v>24</v>
      </c>
      <c r="D149" t="s">
        <v>45</v>
      </c>
      <c r="E149" t="s">
        <v>46</v>
      </c>
      <c r="F149" t="s">
        <v>47</v>
      </c>
      <c r="G149" t="s">
        <v>212</v>
      </c>
      <c r="H149" t="s">
        <v>29</v>
      </c>
      <c r="I149" t="s">
        <v>48</v>
      </c>
      <c r="J149" t="s">
        <v>49</v>
      </c>
      <c r="L149">
        <v>60</v>
      </c>
      <c r="M149">
        <v>50</v>
      </c>
      <c r="N149">
        <v>0.53</v>
      </c>
      <c r="O149">
        <f t="shared" si="10"/>
        <v>-0.781315661644339</v>
      </c>
      <c r="P149">
        <v>1</v>
      </c>
      <c r="Q149">
        <v>0</v>
      </c>
      <c r="R149">
        <f t="shared" si="11"/>
        <v>333.15</v>
      </c>
      <c r="U149">
        <v>0.001987</v>
      </c>
      <c r="V149">
        <f t="shared" si="12"/>
        <v>0.47</v>
      </c>
      <c r="W149">
        <f t="shared" si="13"/>
        <v>1.53</v>
      </c>
      <c r="X149">
        <f t="shared" si="14"/>
        <v>3.25531914893617</v>
      </c>
      <c r="Y149">
        <v>273.15</v>
      </c>
    </row>
    <row r="150" spans="1:25">
      <c r="A150" t="s">
        <v>220</v>
      </c>
      <c r="B150" t="s">
        <v>211</v>
      </c>
      <c r="C150" t="s">
        <v>24</v>
      </c>
      <c r="D150" t="s">
        <v>25</v>
      </c>
      <c r="E150" t="s">
        <v>26</v>
      </c>
      <c r="F150" t="s">
        <v>27</v>
      </c>
      <c r="G150" t="s">
        <v>212</v>
      </c>
      <c r="H150" t="s">
        <v>29</v>
      </c>
      <c r="I150" t="s">
        <v>30</v>
      </c>
      <c r="J150" t="s">
        <v>31</v>
      </c>
      <c r="L150">
        <v>60</v>
      </c>
      <c r="M150">
        <v>100</v>
      </c>
      <c r="N150">
        <v>0.82</v>
      </c>
      <c r="O150">
        <f t="shared" si="10"/>
        <v>-1.53155471611652</v>
      </c>
      <c r="P150">
        <v>1</v>
      </c>
      <c r="Q150">
        <v>0</v>
      </c>
      <c r="R150">
        <f t="shared" si="11"/>
        <v>333.15</v>
      </c>
      <c r="U150">
        <v>0.001987</v>
      </c>
      <c r="V150">
        <f t="shared" si="12"/>
        <v>0.18</v>
      </c>
      <c r="W150">
        <f t="shared" si="13"/>
        <v>1.82</v>
      </c>
      <c r="X150">
        <f t="shared" si="14"/>
        <v>10.1111111111111</v>
      </c>
      <c r="Y150">
        <v>273.15</v>
      </c>
    </row>
    <row r="151" spans="1:25">
      <c r="A151" t="s">
        <v>221</v>
      </c>
      <c r="B151" t="s">
        <v>211</v>
      </c>
      <c r="C151" t="s">
        <v>24</v>
      </c>
      <c r="D151" t="s">
        <v>33</v>
      </c>
      <c r="E151" t="s">
        <v>34</v>
      </c>
      <c r="F151" t="s">
        <v>35</v>
      </c>
      <c r="G151" t="s">
        <v>212</v>
      </c>
      <c r="H151" t="s">
        <v>29</v>
      </c>
      <c r="I151" t="s">
        <v>36</v>
      </c>
      <c r="J151" t="s">
        <v>37</v>
      </c>
      <c r="L151">
        <v>60</v>
      </c>
      <c r="M151">
        <v>100</v>
      </c>
      <c r="N151">
        <v>0.69</v>
      </c>
      <c r="O151">
        <f t="shared" si="10"/>
        <v>-1.12264093144866</v>
      </c>
      <c r="P151">
        <v>1</v>
      </c>
      <c r="Q151">
        <v>0</v>
      </c>
      <c r="R151">
        <f t="shared" si="11"/>
        <v>333.15</v>
      </c>
      <c r="U151">
        <v>0.001987</v>
      </c>
      <c r="V151">
        <f t="shared" si="12"/>
        <v>0.31</v>
      </c>
      <c r="W151">
        <f t="shared" si="13"/>
        <v>1.69</v>
      </c>
      <c r="X151">
        <f t="shared" si="14"/>
        <v>5.45161290322581</v>
      </c>
      <c r="Y151">
        <v>273.15</v>
      </c>
    </row>
    <row r="152" spans="1:25">
      <c r="A152" t="s">
        <v>222</v>
      </c>
      <c r="B152" t="s">
        <v>211</v>
      </c>
      <c r="C152" t="s">
        <v>24</v>
      </c>
      <c r="D152" t="s">
        <v>39</v>
      </c>
      <c r="E152" t="s">
        <v>40</v>
      </c>
      <c r="F152" t="s">
        <v>41</v>
      </c>
      <c r="G152" t="s">
        <v>212</v>
      </c>
      <c r="H152" t="s">
        <v>29</v>
      </c>
      <c r="I152" t="s">
        <v>42</v>
      </c>
      <c r="J152" t="s">
        <v>43</v>
      </c>
      <c r="L152">
        <v>60</v>
      </c>
      <c r="M152">
        <v>100</v>
      </c>
      <c r="N152">
        <v>0.75</v>
      </c>
      <c r="O152">
        <f t="shared" si="10"/>
        <v>-1.2881322927555</v>
      </c>
      <c r="P152">
        <v>1</v>
      </c>
      <c r="Q152">
        <v>0</v>
      </c>
      <c r="R152">
        <f t="shared" si="11"/>
        <v>333.15</v>
      </c>
      <c r="U152">
        <v>0.001987</v>
      </c>
      <c r="V152">
        <f t="shared" si="12"/>
        <v>0.25</v>
      </c>
      <c r="W152">
        <f t="shared" si="13"/>
        <v>1.75</v>
      </c>
      <c r="X152">
        <f t="shared" si="14"/>
        <v>7</v>
      </c>
      <c r="Y152">
        <v>273.15</v>
      </c>
    </row>
    <row r="153" spans="1:25">
      <c r="A153" t="s">
        <v>223</v>
      </c>
      <c r="B153" t="s">
        <v>211</v>
      </c>
      <c r="C153" t="s">
        <v>24</v>
      </c>
      <c r="D153" t="s">
        <v>45</v>
      </c>
      <c r="E153" t="s">
        <v>46</v>
      </c>
      <c r="F153" t="s">
        <v>47</v>
      </c>
      <c r="G153" t="s">
        <v>212</v>
      </c>
      <c r="H153" t="s">
        <v>29</v>
      </c>
      <c r="I153" t="s">
        <v>48</v>
      </c>
      <c r="J153" t="s">
        <v>49</v>
      </c>
      <c r="L153">
        <v>60</v>
      </c>
      <c r="M153">
        <v>100</v>
      </c>
      <c r="N153">
        <v>0.79</v>
      </c>
      <c r="O153">
        <f t="shared" si="10"/>
        <v>-1.41850922807243</v>
      </c>
      <c r="P153">
        <v>1</v>
      </c>
      <c r="Q153">
        <v>0</v>
      </c>
      <c r="R153">
        <f t="shared" si="11"/>
        <v>333.15</v>
      </c>
      <c r="U153">
        <v>0.001987</v>
      </c>
      <c r="V153">
        <f t="shared" si="12"/>
        <v>0.21</v>
      </c>
      <c r="W153">
        <f t="shared" si="13"/>
        <v>1.79</v>
      </c>
      <c r="X153">
        <f t="shared" si="14"/>
        <v>8.52380952380953</v>
      </c>
      <c r="Y153">
        <v>273.15</v>
      </c>
    </row>
    <row r="154" spans="1:25">
      <c r="A154" t="s">
        <v>224</v>
      </c>
      <c r="B154" t="s">
        <v>225</v>
      </c>
      <c r="C154" t="s">
        <v>24</v>
      </c>
      <c r="D154" t="s">
        <v>25</v>
      </c>
      <c r="E154" t="s">
        <v>26</v>
      </c>
      <c r="F154" t="s">
        <v>27</v>
      </c>
      <c r="G154" t="s">
        <v>226</v>
      </c>
      <c r="H154" t="s">
        <v>29</v>
      </c>
      <c r="I154" t="s">
        <v>30</v>
      </c>
      <c r="J154" t="s">
        <v>31</v>
      </c>
      <c r="L154">
        <v>60</v>
      </c>
      <c r="M154">
        <v>100</v>
      </c>
      <c r="N154">
        <v>0.8</v>
      </c>
      <c r="O154">
        <f t="shared" si="10"/>
        <v>-1.45449466609591</v>
      </c>
      <c r="P154">
        <v>1</v>
      </c>
      <c r="Q154">
        <v>0</v>
      </c>
      <c r="R154">
        <f t="shared" si="11"/>
        <v>333.15</v>
      </c>
      <c r="U154">
        <v>0.001987</v>
      </c>
      <c r="V154">
        <f t="shared" si="12"/>
        <v>0.2</v>
      </c>
      <c r="W154">
        <f t="shared" si="13"/>
        <v>1.8</v>
      </c>
      <c r="X154">
        <f t="shared" si="14"/>
        <v>9</v>
      </c>
      <c r="Y154">
        <v>273.15</v>
      </c>
    </row>
    <row r="155" spans="1:25">
      <c r="A155" t="s">
        <v>227</v>
      </c>
      <c r="B155" t="s">
        <v>225</v>
      </c>
      <c r="C155" t="s">
        <v>24</v>
      </c>
      <c r="D155" t="s">
        <v>33</v>
      </c>
      <c r="E155" t="s">
        <v>34</v>
      </c>
      <c r="F155" t="s">
        <v>35</v>
      </c>
      <c r="G155" t="s">
        <v>226</v>
      </c>
      <c r="H155" t="s">
        <v>29</v>
      </c>
      <c r="I155" t="s">
        <v>36</v>
      </c>
      <c r="J155" t="s">
        <v>37</v>
      </c>
      <c r="L155">
        <v>60</v>
      </c>
      <c r="M155">
        <v>100</v>
      </c>
      <c r="N155">
        <v>0.25</v>
      </c>
      <c r="O155">
        <f t="shared" si="10"/>
        <v>-0.33815075288003</v>
      </c>
      <c r="P155">
        <v>1</v>
      </c>
      <c r="Q155">
        <v>0</v>
      </c>
      <c r="R155">
        <f t="shared" si="11"/>
        <v>333.15</v>
      </c>
      <c r="U155">
        <v>0.001987</v>
      </c>
      <c r="V155">
        <f t="shared" si="12"/>
        <v>0.75</v>
      </c>
      <c r="W155">
        <f t="shared" si="13"/>
        <v>1.25</v>
      </c>
      <c r="X155">
        <f t="shared" si="14"/>
        <v>1.66666666666667</v>
      </c>
      <c r="Y155">
        <v>273.15</v>
      </c>
    </row>
    <row r="156" spans="1:25">
      <c r="A156" t="s">
        <v>228</v>
      </c>
      <c r="B156" t="s">
        <v>225</v>
      </c>
      <c r="C156" t="s">
        <v>24</v>
      </c>
      <c r="D156" t="s">
        <v>39</v>
      </c>
      <c r="E156" t="s">
        <v>40</v>
      </c>
      <c r="F156" t="s">
        <v>41</v>
      </c>
      <c r="G156" t="s">
        <v>226</v>
      </c>
      <c r="H156" t="s">
        <v>29</v>
      </c>
      <c r="I156" t="s">
        <v>42</v>
      </c>
      <c r="J156" t="s">
        <v>43</v>
      </c>
      <c r="L156">
        <v>60</v>
      </c>
      <c r="M156">
        <v>100</v>
      </c>
      <c r="N156">
        <v>0.36</v>
      </c>
      <c r="O156">
        <f t="shared" si="10"/>
        <v>-0.49897360393588</v>
      </c>
      <c r="P156">
        <v>1</v>
      </c>
      <c r="Q156">
        <v>0</v>
      </c>
      <c r="R156">
        <f t="shared" si="11"/>
        <v>333.15</v>
      </c>
      <c r="U156">
        <v>0.001987</v>
      </c>
      <c r="V156">
        <f t="shared" si="12"/>
        <v>0.64</v>
      </c>
      <c r="W156">
        <f t="shared" si="13"/>
        <v>1.36</v>
      </c>
      <c r="X156">
        <f t="shared" si="14"/>
        <v>2.125</v>
      </c>
      <c r="Y156">
        <v>273.15</v>
      </c>
    </row>
    <row r="157" spans="1:25">
      <c r="A157" t="s">
        <v>229</v>
      </c>
      <c r="B157" t="s">
        <v>225</v>
      </c>
      <c r="C157" t="s">
        <v>24</v>
      </c>
      <c r="D157" t="s">
        <v>45</v>
      </c>
      <c r="E157" t="s">
        <v>46</v>
      </c>
      <c r="F157" t="s">
        <v>47</v>
      </c>
      <c r="G157" t="s">
        <v>226</v>
      </c>
      <c r="H157" t="s">
        <v>29</v>
      </c>
      <c r="I157" t="s">
        <v>48</v>
      </c>
      <c r="J157" t="s">
        <v>49</v>
      </c>
      <c r="L157">
        <v>60</v>
      </c>
      <c r="M157">
        <v>100</v>
      </c>
      <c r="N157">
        <v>0.25</v>
      </c>
      <c r="O157">
        <f t="shared" si="10"/>
        <v>-0.33815075288003</v>
      </c>
      <c r="P157">
        <v>1</v>
      </c>
      <c r="Q157">
        <v>0</v>
      </c>
      <c r="R157">
        <f t="shared" si="11"/>
        <v>333.15</v>
      </c>
      <c r="U157">
        <v>0.001987</v>
      </c>
      <c r="V157">
        <f t="shared" si="12"/>
        <v>0.75</v>
      </c>
      <c r="W157">
        <f t="shared" si="13"/>
        <v>1.25</v>
      </c>
      <c r="X157">
        <f t="shared" si="14"/>
        <v>1.66666666666667</v>
      </c>
      <c r="Y157">
        <v>273.15</v>
      </c>
    </row>
    <row r="158" spans="1:25">
      <c r="A158" t="s">
        <v>230</v>
      </c>
      <c r="B158" t="s">
        <v>231</v>
      </c>
      <c r="C158" t="s">
        <v>24</v>
      </c>
      <c r="D158" t="s">
        <v>25</v>
      </c>
      <c r="E158" t="s">
        <v>26</v>
      </c>
      <c r="F158" t="s">
        <v>27</v>
      </c>
      <c r="G158" t="s">
        <v>232</v>
      </c>
      <c r="H158" t="s">
        <v>29</v>
      </c>
      <c r="I158" t="s">
        <v>30</v>
      </c>
      <c r="J158" t="s">
        <v>31</v>
      </c>
      <c r="L158">
        <v>60</v>
      </c>
      <c r="M158">
        <v>100</v>
      </c>
      <c r="N158">
        <v>-0.75</v>
      </c>
      <c r="O158">
        <f t="shared" si="10"/>
        <v>1.2881322927555</v>
      </c>
      <c r="P158">
        <v>1</v>
      </c>
      <c r="Q158">
        <v>0</v>
      </c>
      <c r="R158">
        <f t="shared" si="11"/>
        <v>333.15</v>
      </c>
      <c r="U158">
        <v>0.001987</v>
      </c>
      <c r="V158">
        <f t="shared" si="12"/>
        <v>1.75</v>
      </c>
      <c r="W158">
        <f t="shared" si="13"/>
        <v>0.25</v>
      </c>
      <c r="X158">
        <f t="shared" si="14"/>
        <v>0.142857142857143</v>
      </c>
      <c r="Y158">
        <v>273.15</v>
      </c>
    </row>
    <row r="159" spans="1:25">
      <c r="A159" t="s">
        <v>233</v>
      </c>
      <c r="B159" t="s">
        <v>231</v>
      </c>
      <c r="C159" t="s">
        <v>24</v>
      </c>
      <c r="D159" t="s">
        <v>33</v>
      </c>
      <c r="E159" t="s">
        <v>34</v>
      </c>
      <c r="F159" t="s">
        <v>35</v>
      </c>
      <c r="G159" t="s">
        <v>232</v>
      </c>
      <c r="H159" t="s">
        <v>29</v>
      </c>
      <c r="I159" t="s">
        <v>36</v>
      </c>
      <c r="J159" t="s">
        <v>37</v>
      </c>
      <c r="L159">
        <v>60</v>
      </c>
      <c r="M159">
        <v>100</v>
      </c>
      <c r="N159">
        <v>-0.18</v>
      </c>
      <c r="O159">
        <f t="shared" si="10"/>
        <v>0.24093381497891</v>
      </c>
      <c r="P159">
        <v>1</v>
      </c>
      <c r="Q159">
        <v>0</v>
      </c>
      <c r="R159">
        <f t="shared" si="11"/>
        <v>333.15</v>
      </c>
      <c r="U159">
        <v>0.001987</v>
      </c>
      <c r="V159">
        <f t="shared" si="12"/>
        <v>1.18</v>
      </c>
      <c r="W159">
        <f t="shared" si="13"/>
        <v>0.82</v>
      </c>
      <c r="X159">
        <f t="shared" si="14"/>
        <v>0.694915254237288</v>
      </c>
      <c r="Y159">
        <v>273.15</v>
      </c>
    </row>
    <row r="160" spans="1:25">
      <c r="A160" t="s">
        <v>234</v>
      </c>
      <c r="B160" t="s">
        <v>231</v>
      </c>
      <c r="C160" t="s">
        <v>24</v>
      </c>
      <c r="D160" t="s">
        <v>39</v>
      </c>
      <c r="E160" t="s">
        <v>40</v>
      </c>
      <c r="F160" t="s">
        <v>41</v>
      </c>
      <c r="G160" t="s">
        <v>232</v>
      </c>
      <c r="H160" t="s">
        <v>29</v>
      </c>
      <c r="I160" t="s">
        <v>42</v>
      </c>
      <c r="J160" t="s">
        <v>43</v>
      </c>
      <c r="L160">
        <v>60</v>
      </c>
      <c r="M160">
        <v>100</v>
      </c>
      <c r="N160">
        <v>-0.3</v>
      </c>
      <c r="O160">
        <f t="shared" si="10"/>
        <v>0.40978479670142</v>
      </c>
      <c r="P160">
        <v>1</v>
      </c>
      <c r="Q160">
        <v>0</v>
      </c>
      <c r="R160">
        <f t="shared" si="11"/>
        <v>333.15</v>
      </c>
      <c r="U160">
        <v>0.001987</v>
      </c>
      <c r="V160">
        <f t="shared" si="12"/>
        <v>1.3</v>
      </c>
      <c r="W160">
        <f t="shared" si="13"/>
        <v>0.7</v>
      </c>
      <c r="X160">
        <f t="shared" si="14"/>
        <v>0.538461538461538</v>
      </c>
      <c r="Y160">
        <v>273.15</v>
      </c>
    </row>
    <row r="161" spans="1:25">
      <c r="A161" t="s">
        <v>235</v>
      </c>
      <c r="B161" t="s">
        <v>231</v>
      </c>
      <c r="C161" t="s">
        <v>24</v>
      </c>
      <c r="D161" t="s">
        <v>45</v>
      </c>
      <c r="E161" t="s">
        <v>46</v>
      </c>
      <c r="F161" t="s">
        <v>47</v>
      </c>
      <c r="G161" t="s">
        <v>232</v>
      </c>
      <c r="H161" t="s">
        <v>29</v>
      </c>
      <c r="I161" t="s">
        <v>48</v>
      </c>
      <c r="J161" t="s">
        <v>49</v>
      </c>
      <c r="L161">
        <v>60</v>
      </c>
      <c r="M161">
        <v>100</v>
      </c>
      <c r="N161">
        <v>-0.61</v>
      </c>
      <c r="O161">
        <f t="shared" si="10"/>
        <v>0.93856799764974</v>
      </c>
      <c r="P161">
        <v>1</v>
      </c>
      <c r="Q161">
        <v>0</v>
      </c>
      <c r="R161">
        <f t="shared" si="11"/>
        <v>333.15</v>
      </c>
      <c r="U161">
        <v>0.001987</v>
      </c>
      <c r="V161">
        <f t="shared" si="12"/>
        <v>1.61</v>
      </c>
      <c r="W161">
        <f t="shared" si="13"/>
        <v>0.39</v>
      </c>
      <c r="X161">
        <f t="shared" si="14"/>
        <v>0.242236024844721</v>
      </c>
      <c r="Y161">
        <v>273.15</v>
      </c>
    </row>
    <row r="162" spans="1:25">
      <c r="A162" t="s">
        <v>236</v>
      </c>
      <c r="B162" t="s">
        <v>237</v>
      </c>
      <c r="C162" t="s">
        <v>24</v>
      </c>
      <c r="D162" t="s">
        <v>25</v>
      </c>
      <c r="E162" t="s">
        <v>26</v>
      </c>
      <c r="F162" t="s">
        <v>27</v>
      </c>
      <c r="G162" t="s">
        <v>238</v>
      </c>
      <c r="H162" t="s">
        <v>29</v>
      </c>
      <c r="I162" t="s">
        <v>30</v>
      </c>
      <c r="J162" t="s">
        <v>31</v>
      </c>
      <c r="L162">
        <v>60</v>
      </c>
      <c r="M162">
        <v>100</v>
      </c>
      <c r="N162">
        <v>0.77</v>
      </c>
      <c r="O162">
        <f t="shared" si="10"/>
        <v>-1.35085079373054</v>
      </c>
      <c r="P162">
        <v>1</v>
      </c>
      <c r="Q162">
        <v>0</v>
      </c>
      <c r="R162">
        <f t="shared" si="11"/>
        <v>333.15</v>
      </c>
      <c r="U162">
        <v>0.001987</v>
      </c>
      <c r="V162">
        <f t="shared" si="12"/>
        <v>0.23</v>
      </c>
      <c r="W162">
        <f t="shared" si="13"/>
        <v>1.77</v>
      </c>
      <c r="X162">
        <f t="shared" si="14"/>
        <v>7.69565217391304</v>
      </c>
      <c r="Y162">
        <v>273.15</v>
      </c>
    </row>
    <row r="163" spans="1:25">
      <c r="A163" t="s">
        <v>239</v>
      </c>
      <c r="B163" t="s">
        <v>237</v>
      </c>
      <c r="C163" t="s">
        <v>24</v>
      </c>
      <c r="D163" t="s">
        <v>33</v>
      </c>
      <c r="E163" t="s">
        <v>34</v>
      </c>
      <c r="F163" t="s">
        <v>35</v>
      </c>
      <c r="G163" t="s">
        <v>238</v>
      </c>
      <c r="H163" t="s">
        <v>29</v>
      </c>
      <c r="I163" t="s">
        <v>36</v>
      </c>
      <c r="J163" t="s">
        <v>37</v>
      </c>
      <c r="L163">
        <v>60</v>
      </c>
      <c r="M163">
        <v>100</v>
      </c>
      <c r="N163">
        <v>0.08</v>
      </c>
      <c r="O163">
        <f t="shared" si="10"/>
        <v>-0.106141871744749</v>
      </c>
      <c r="P163">
        <v>1</v>
      </c>
      <c r="Q163">
        <v>0</v>
      </c>
      <c r="R163">
        <f t="shared" si="11"/>
        <v>333.15</v>
      </c>
      <c r="U163">
        <v>0.001987</v>
      </c>
      <c r="V163">
        <f t="shared" si="12"/>
        <v>0.92</v>
      </c>
      <c r="W163">
        <f t="shared" si="13"/>
        <v>1.08</v>
      </c>
      <c r="X163">
        <f t="shared" si="14"/>
        <v>1.17391304347826</v>
      </c>
      <c r="Y163">
        <v>273.15</v>
      </c>
    </row>
    <row r="164" spans="1:25">
      <c r="A164" t="s">
        <v>240</v>
      </c>
      <c r="B164" t="s">
        <v>237</v>
      </c>
      <c r="C164" t="s">
        <v>24</v>
      </c>
      <c r="D164" t="s">
        <v>39</v>
      </c>
      <c r="E164" t="s">
        <v>40</v>
      </c>
      <c r="F164" t="s">
        <v>41</v>
      </c>
      <c r="G164" t="s">
        <v>238</v>
      </c>
      <c r="H164" t="s">
        <v>29</v>
      </c>
      <c r="I164" t="s">
        <v>42</v>
      </c>
      <c r="J164" t="s">
        <v>43</v>
      </c>
      <c r="L164">
        <v>60</v>
      </c>
      <c r="M164">
        <v>100</v>
      </c>
      <c r="N164">
        <v>0.68</v>
      </c>
      <c r="O164">
        <f t="shared" si="10"/>
        <v>-1.09769566455257</v>
      </c>
      <c r="P164">
        <v>1</v>
      </c>
      <c r="Q164">
        <v>0</v>
      </c>
      <c r="R164">
        <f t="shared" si="11"/>
        <v>333.15</v>
      </c>
      <c r="U164">
        <v>0.001987</v>
      </c>
      <c r="V164">
        <f t="shared" si="12"/>
        <v>0.32</v>
      </c>
      <c r="W164">
        <f t="shared" si="13"/>
        <v>1.68</v>
      </c>
      <c r="X164">
        <f t="shared" si="14"/>
        <v>5.25</v>
      </c>
      <c r="Y164">
        <v>273.15</v>
      </c>
    </row>
    <row r="165" spans="1:25">
      <c r="A165" t="s">
        <v>241</v>
      </c>
      <c r="B165" t="s">
        <v>237</v>
      </c>
      <c r="C165" t="s">
        <v>24</v>
      </c>
      <c r="D165" t="s">
        <v>45</v>
      </c>
      <c r="E165" t="s">
        <v>46</v>
      </c>
      <c r="F165" t="s">
        <v>47</v>
      </c>
      <c r="G165" t="s">
        <v>238</v>
      </c>
      <c r="H165" t="s">
        <v>29</v>
      </c>
      <c r="I165" t="s">
        <v>48</v>
      </c>
      <c r="J165" t="s">
        <v>49</v>
      </c>
      <c r="L165">
        <v>60</v>
      </c>
      <c r="M165">
        <v>100</v>
      </c>
      <c r="N165">
        <v>0.72</v>
      </c>
      <c r="O165">
        <f t="shared" si="10"/>
        <v>-1.20166577469005</v>
      </c>
      <c r="P165">
        <v>1</v>
      </c>
      <c r="Q165">
        <v>0</v>
      </c>
      <c r="R165">
        <f t="shared" si="11"/>
        <v>333.15</v>
      </c>
      <c r="U165">
        <v>0.001987</v>
      </c>
      <c r="V165">
        <f t="shared" si="12"/>
        <v>0.28</v>
      </c>
      <c r="W165">
        <f t="shared" si="13"/>
        <v>1.72</v>
      </c>
      <c r="X165">
        <f t="shared" si="14"/>
        <v>6.14285714285714</v>
      </c>
      <c r="Y165">
        <v>273.15</v>
      </c>
    </row>
    <row r="166" spans="1:25">
      <c r="A166" t="s">
        <v>242</v>
      </c>
      <c r="B166" t="s">
        <v>243</v>
      </c>
      <c r="C166" t="s">
        <v>24</v>
      </c>
      <c r="D166" t="s">
        <v>25</v>
      </c>
      <c r="E166" t="s">
        <v>26</v>
      </c>
      <c r="F166" t="s">
        <v>27</v>
      </c>
      <c r="G166" t="s">
        <v>244</v>
      </c>
      <c r="H166" t="s">
        <v>29</v>
      </c>
      <c r="I166" t="s">
        <v>30</v>
      </c>
      <c r="J166" t="s">
        <v>31</v>
      </c>
      <c r="L166">
        <v>60</v>
      </c>
      <c r="M166">
        <v>100</v>
      </c>
      <c r="N166">
        <v>0.45</v>
      </c>
      <c r="O166">
        <f t="shared" si="10"/>
        <v>-0.641713165911279</v>
      </c>
      <c r="P166">
        <v>0.35</v>
      </c>
      <c r="Q166">
        <v>0</v>
      </c>
      <c r="R166">
        <f t="shared" si="11"/>
        <v>333.15</v>
      </c>
      <c r="U166">
        <v>0.001987</v>
      </c>
      <c r="V166">
        <f t="shared" si="12"/>
        <v>0.55</v>
      </c>
      <c r="W166">
        <f t="shared" si="13"/>
        <v>1.45</v>
      </c>
      <c r="X166">
        <f t="shared" si="14"/>
        <v>2.63636363636364</v>
      </c>
      <c r="Y166">
        <v>273.15</v>
      </c>
    </row>
    <row r="167" spans="1:25">
      <c r="A167" t="s">
        <v>245</v>
      </c>
      <c r="B167" t="s">
        <v>243</v>
      </c>
      <c r="C167" t="s">
        <v>24</v>
      </c>
      <c r="D167" t="s">
        <v>33</v>
      </c>
      <c r="E167" t="s">
        <v>34</v>
      </c>
      <c r="F167" t="s">
        <v>35</v>
      </c>
      <c r="G167" t="s">
        <v>244</v>
      </c>
      <c r="H167" t="s">
        <v>29</v>
      </c>
      <c r="I167" t="s">
        <v>36</v>
      </c>
      <c r="J167" t="s">
        <v>37</v>
      </c>
      <c r="L167">
        <v>60</v>
      </c>
      <c r="M167">
        <v>100</v>
      </c>
      <c r="N167">
        <v>0.48</v>
      </c>
      <c r="O167">
        <f t="shared" si="10"/>
        <v>-0.692398810804156</v>
      </c>
      <c r="P167">
        <v>0.14</v>
      </c>
      <c r="Q167">
        <v>0</v>
      </c>
      <c r="R167">
        <f t="shared" si="11"/>
        <v>333.15</v>
      </c>
      <c r="U167">
        <v>0.001987</v>
      </c>
      <c r="V167">
        <f t="shared" si="12"/>
        <v>0.52</v>
      </c>
      <c r="W167">
        <f t="shared" si="13"/>
        <v>1.48</v>
      </c>
      <c r="X167">
        <f t="shared" si="14"/>
        <v>2.84615384615385</v>
      </c>
      <c r="Y167">
        <v>273.15</v>
      </c>
    </row>
    <row r="168" spans="1:25">
      <c r="A168" t="s">
        <v>246</v>
      </c>
      <c r="B168" t="s">
        <v>243</v>
      </c>
      <c r="C168" t="s">
        <v>24</v>
      </c>
      <c r="D168" t="s">
        <v>39</v>
      </c>
      <c r="E168" t="s">
        <v>40</v>
      </c>
      <c r="F168" t="s">
        <v>41</v>
      </c>
      <c r="G168" t="s">
        <v>244</v>
      </c>
      <c r="H168" t="s">
        <v>29</v>
      </c>
      <c r="I168" t="s">
        <v>42</v>
      </c>
      <c r="J168" t="s">
        <v>43</v>
      </c>
      <c r="L168">
        <v>60</v>
      </c>
      <c r="M168">
        <v>100</v>
      </c>
      <c r="N168">
        <v>0.65</v>
      </c>
      <c r="O168">
        <f t="shared" si="10"/>
        <v>-1.02644749602628</v>
      </c>
      <c r="P168">
        <v>0.4</v>
      </c>
      <c r="Q168">
        <v>0</v>
      </c>
      <c r="R168">
        <f t="shared" si="11"/>
        <v>333.15</v>
      </c>
      <c r="U168">
        <v>0.001987</v>
      </c>
      <c r="V168">
        <f t="shared" si="12"/>
        <v>0.35</v>
      </c>
      <c r="W168">
        <f t="shared" si="13"/>
        <v>1.65</v>
      </c>
      <c r="X168">
        <f t="shared" si="14"/>
        <v>4.71428571428571</v>
      </c>
      <c r="Y168">
        <v>273.15</v>
      </c>
    </row>
    <row r="169" spans="1:25">
      <c r="A169" t="s">
        <v>247</v>
      </c>
      <c r="B169" t="s">
        <v>243</v>
      </c>
      <c r="C169" t="s">
        <v>24</v>
      </c>
      <c r="D169" t="s">
        <v>45</v>
      </c>
      <c r="E169" t="s">
        <v>46</v>
      </c>
      <c r="F169" t="s">
        <v>47</v>
      </c>
      <c r="G169" t="s">
        <v>244</v>
      </c>
      <c r="H169" t="s">
        <v>29</v>
      </c>
      <c r="I169" t="s">
        <v>48</v>
      </c>
      <c r="J169" t="s">
        <v>49</v>
      </c>
      <c r="L169">
        <v>60</v>
      </c>
      <c r="M169">
        <v>100</v>
      </c>
      <c r="N169">
        <v>0.69</v>
      </c>
      <c r="O169">
        <f t="shared" si="10"/>
        <v>-1.12264093144866</v>
      </c>
      <c r="P169">
        <v>0.46</v>
      </c>
      <c r="Q169">
        <v>0</v>
      </c>
      <c r="R169">
        <f t="shared" si="11"/>
        <v>333.15</v>
      </c>
      <c r="U169">
        <v>0.001987</v>
      </c>
      <c r="V169">
        <f t="shared" si="12"/>
        <v>0.31</v>
      </c>
      <c r="W169">
        <f t="shared" si="13"/>
        <v>1.69</v>
      </c>
      <c r="X169">
        <f t="shared" si="14"/>
        <v>5.45161290322581</v>
      </c>
      <c r="Y169">
        <v>273.15</v>
      </c>
    </row>
    <row r="170" spans="1:25">
      <c r="A170" t="s">
        <v>248</v>
      </c>
      <c r="B170" t="s">
        <v>249</v>
      </c>
      <c r="C170" t="s">
        <v>24</v>
      </c>
      <c r="D170" t="s">
        <v>25</v>
      </c>
      <c r="E170" t="s">
        <v>26</v>
      </c>
      <c r="F170" t="s">
        <v>27</v>
      </c>
      <c r="G170" t="s">
        <v>250</v>
      </c>
      <c r="H170" t="s">
        <v>29</v>
      </c>
      <c r="I170" t="s">
        <v>30</v>
      </c>
      <c r="J170" t="s">
        <v>31</v>
      </c>
      <c r="L170">
        <v>60</v>
      </c>
      <c r="M170">
        <v>100</v>
      </c>
      <c r="N170">
        <v>0</v>
      </c>
      <c r="O170">
        <f t="shared" si="10"/>
        <v>0</v>
      </c>
      <c r="P170">
        <v>0</v>
      </c>
      <c r="Q170">
        <v>0</v>
      </c>
      <c r="R170">
        <f t="shared" si="11"/>
        <v>333.15</v>
      </c>
      <c r="U170">
        <v>0.001987</v>
      </c>
      <c r="V170">
        <f t="shared" si="12"/>
        <v>1</v>
      </c>
      <c r="W170">
        <f t="shared" si="13"/>
        <v>1</v>
      </c>
      <c r="X170">
        <f t="shared" si="14"/>
        <v>1</v>
      </c>
      <c r="Y170">
        <v>273.15</v>
      </c>
    </row>
    <row r="171" spans="1:25">
      <c r="A171" t="s">
        <v>251</v>
      </c>
      <c r="B171" t="s">
        <v>249</v>
      </c>
      <c r="C171" t="s">
        <v>24</v>
      </c>
      <c r="D171" t="s">
        <v>33</v>
      </c>
      <c r="E171" t="s">
        <v>34</v>
      </c>
      <c r="F171" t="s">
        <v>35</v>
      </c>
      <c r="G171" t="s">
        <v>250</v>
      </c>
      <c r="H171" t="s">
        <v>29</v>
      </c>
      <c r="I171" t="s">
        <v>36</v>
      </c>
      <c r="J171" t="s">
        <v>37</v>
      </c>
      <c r="L171">
        <v>60</v>
      </c>
      <c r="M171">
        <v>100</v>
      </c>
      <c r="N171">
        <v>0</v>
      </c>
      <c r="O171">
        <f t="shared" si="10"/>
        <v>0</v>
      </c>
      <c r="P171">
        <v>0</v>
      </c>
      <c r="Q171">
        <v>0</v>
      </c>
      <c r="R171">
        <f t="shared" si="11"/>
        <v>333.15</v>
      </c>
      <c r="U171">
        <v>0.001987</v>
      </c>
      <c r="V171">
        <f t="shared" si="12"/>
        <v>1</v>
      </c>
      <c r="W171">
        <f t="shared" si="13"/>
        <v>1</v>
      </c>
      <c r="X171">
        <f t="shared" si="14"/>
        <v>1</v>
      </c>
      <c r="Y171">
        <v>273.15</v>
      </c>
    </row>
    <row r="172" spans="1:25">
      <c r="A172" t="s">
        <v>252</v>
      </c>
      <c r="B172" t="s">
        <v>249</v>
      </c>
      <c r="C172" t="s">
        <v>24</v>
      </c>
      <c r="D172" t="s">
        <v>39</v>
      </c>
      <c r="E172" t="s">
        <v>40</v>
      </c>
      <c r="F172" t="s">
        <v>41</v>
      </c>
      <c r="G172" t="s">
        <v>250</v>
      </c>
      <c r="H172" t="s">
        <v>29</v>
      </c>
      <c r="I172" t="s">
        <v>42</v>
      </c>
      <c r="J172" t="s">
        <v>43</v>
      </c>
      <c r="L172">
        <v>60</v>
      </c>
      <c r="M172">
        <v>100</v>
      </c>
      <c r="N172">
        <v>0</v>
      </c>
      <c r="O172">
        <f t="shared" si="10"/>
        <v>0</v>
      </c>
      <c r="P172">
        <v>0</v>
      </c>
      <c r="Q172">
        <v>0</v>
      </c>
      <c r="R172">
        <f t="shared" si="11"/>
        <v>333.15</v>
      </c>
      <c r="U172">
        <v>0.001987</v>
      </c>
      <c r="V172">
        <f t="shared" si="12"/>
        <v>1</v>
      </c>
      <c r="W172">
        <f t="shared" si="13"/>
        <v>1</v>
      </c>
      <c r="X172">
        <f t="shared" si="14"/>
        <v>1</v>
      </c>
      <c r="Y172">
        <v>273.15</v>
      </c>
    </row>
    <row r="173" spans="1:25">
      <c r="A173" t="s">
        <v>253</v>
      </c>
      <c r="B173" t="s">
        <v>249</v>
      </c>
      <c r="C173" t="s">
        <v>24</v>
      </c>
      <c r="D173" t="s">
        <v>45</v>
      </c>
      <c r="E173" t="s">
        <v>46</v>
      </c>
      <c r="F173" t="s">
        <v>47</v>
      </c>
      <c r="G173" t="s">
        <v>250</v>
      </c>
      <c r="H173" t="s">
        <v>29</v>
      </c>
      <c r="I173" t="s">
        <v>48</v>
      </c>
      <c r="J173" t="s">
        <v>49</v>
      </c>
      <c r="L173">
        <v>60</v>
      </c>
      <c r="M173">
        <v>100</v>
      </c>
      <c r="N173">
        <v>0</v>
      </c>
      <c r="O173">
        <f t="shared" si="10"/>
        <v>0</v>
      </c>
      <c r="P173">
        <v>0</v>
      </c>
      <c r="Q173">
        <v>0</v>
      </c>
      <c r="R173">
        <f t="shared" si="11"/>
        <v>333.15</v>
      </c>
      <c r="U173">
        <v>0.001987</v>
      </c>
      <c r="V173">
        <f t="shared" si="12"/>
        <v>1</v>
      </c>
      <c r="W173">
        <f t="shared" si="13"/>
        <v>1</v>
      </c>
      <c r="X173">
        <f t="shared" si="14"/>
        <v>1</v>
      </c>
      <c r="Y173">
        <v>273.15</v>
      </c>
    </row>
    <row r="174" spans="1:25">
      <c r="A174" t="s">
        <v>254</v>
      </c>
      <c r="B174" t="s">
        <v>255</v>
      </c>
      <c r="C174" t="s">
        <v>24</v>
      </c>
      <c r="D174" t="s">
        <v>25</v>
      </c>
      <c r="E174" t="s">
        <v>26</v>
      </c>
      <c r="F174" t="s">
        <v>27</v>
      </c>
      <c r="G174" t="s">
        <v>256</v>
      </c>
      <c r="H174" t="s">
        <v>29</v>
      </c>
      <c r="I174" t="s">
        <v>30</v>
      </c>
      <c r="J174" t="s">
        <v>31</v>
      </c>
      <c r="L174">
        <v>60</v>
      </c>
      <c r="M174">
        <v>100</v>
      </c>
      <c r="N174">
        <v>0.76</v>
      </c>
      <c r="O174">
        <f t="shared" si="10"/>
        <v>-1.31892710331132</v>
      </c>
      <c r="P174">
        <v>1</v>
      </c>
      <c r="Q174">
        <v>0</v>
      </c>
      <c r="R174">
        <f t="shared" si="11"/>
        <v>333.15</v>
      </c>
      <c r="U174">
        <v>0.001987</v>
      </c>
      <c r="V174">
        <f t="shared" si="12"/>
        <v>0.24</v>
      </c>
      <c r="W174">
        <f t="shared" si="13"/>
        <v>1.76</v>
      </c>
      <c r="X174">
        <f t="shared" si="14"/>
        <v>7.33333333333333</v>
      </c>
      <c r="Y174">
        <v>273.15</v>
      </c>
    </row>
    <row r="175" spans="1:25">
      <c r="A175" t="s">
        <v>257</v>
      </c>
      <c r="B175" t="s">
        <v>255</v>
      </c>
      <c r="C175" t="s">
        <v>24</v>
      </c>
      <c r="D175" t="s">
        <v>33</v>
      </c>
      <c r="E175" t="s">
        <v>34</v>
      </c>
      <c r="F175" t="s">
        <v>35</v>
      </c>
      <c r="G175" t="s">
        <v>256</v>
      </c>
      <c r="H175" t="s">
        <v>29</v>
      </c>
      <c r="I175" t="s">
        <v>36</v>
      </c>
      <c r="J175" t="s">
        <v>37</v>
      </c>
      <c r="L175">
        <v>60</v>
      </c>
      <c r="M175">
        <v>100</v>
      </c>
      <c r="N175">
        <v>0.41</v>
      </c>
      <c r="O175">
        <f t="shared" si="10"/>
        <v>-0.576722295230043</v>
      </c>
      <c r="P175">
        <v>0.87</v>
      </c>
      <c r="Q175">
        <v>0</v>
      </c>
      <c r="R175">
        <f t="shared" si="11"/>
        <v>333.15</v>
      </c>
      <c r="U175">
        <v>0.001987</v>
      </c>
      <c r="V175">
        <f t="shared" si="12"/>
        <v>0.59</v>
      </c>
      <c r="W175">
        <f t="shared" si="13"/>
        <v>1.41</v>
      </c>
      <c r="X175">
        <f t="shared" si="14"/>
        <v>2.38983050847458</v>
      </c>
      <c r="Y175">
        <v>273.15</v>
      </c>
    </row>
    <row r="176" spans="1:25">
      <c r="A176" t="s">
        <v>258</v>
      </c>
      <c r="B176" t="s">
        <v>255</v>
      </c>
      <c r="C176" t="s">
        <v>24</v>
      </c>
      <c r="D176" t="s">
        <v>39</v>
      </c>
      <c r="E176" t="s">
        <v>40</v>
      </c>
      <c r="F176" t="s">
        <v>41</v>
      </c>
      <c r="G176" t="s">
        <v>256</v>
      </c>
      <c r="H176" t="s">
        <v>29</v>
      </c>
      <c r="I176" t="s">
        <v>42</v>
      </c>
      <c r="J176" t="s">
        <v>43</v>
      </c>
      <c r="L176">
        <v>60</v>
      </c>
      <c r="M176">
        <v>100</v>
      </c>
      <c r="N176">
        <v>0.57</v>
      </c>
      <c r="O176">
        <f t="shared" si="10"/>
        <v>-0.857280164887347</v>
      </c>
      <c r="P176">
        <v>0.93</v>
      </c>
      <c r="Q176">
        <v>0</v>
      </c>
      <c r="R176">
        <f t="shared" si="11"/>
        <v>333.15</v>
      </c>
      <c r="U176">
        <v>0.001987</v>
      </c>
      <c r="V176">
        <f t="shared" si="12"/>
        <v>0.43</v>
      </c>
      <c r="W176">
        <f t="shared" si="13"/>
        <v>1.57</v>
      </c>
      <c r="X176">
        <f t="shared" si="14"/>
        <v>3.65116279069767</v>
      </c>
      <c r="Y176">
        <v>273.15</v>
      </c>
    </row>
    <row r="177" spans="1:25">
      <c r="A177" t="s">
        <v>259</v>
      </c>
      <c r="B177" t="s">
        <v>255</v>
      </c>
      <c r="C177" t="s">
        <v>24</v>
      </c>
      <c r="D177" t="s">
        <v>45</v>
      </c>
      <c r="E177" t="s">
        <v>46</v>
      </c>
      <c r="F177" t="s">
        <v>47</v>
      </c>
      <c r="G177" t="s">
        <v>256</v>
      </c>
      <c r="H177" t="s">
        <v>29</v>
      </c>
      <c r="I177" t="s">
        <v>48</v>
      </c>
      <c r="J177" t="s">
        <v>49</v>
      </c>
      <c r="L177">
        <v>60</v>
      </c>
      <c r="M177">
        <v>100</v>
      </c>
      <c r="N177">
        <v>0.64</v>
      </c>
      <c r="O177">
        <f t="shared" si="10"/>
        <v>-1.00377510700688</v>
      </c>
      <c r="P177">
        <v>0.96</v>
      </c>
      <c r="Q177">
        <v>0</v>
      </c>
      <c r="R177">
        <f t="shared" si="11"/>
        <v>333.15</v>
      </c>
      <c r="U177">
        <v>0.001987</v>
      </c>
      <c r="V177">
        <f t="shared" si="12"/>
        <v>0.36</v>
      </c>
      <c r="W177">
        <f t="shared" si="13"/>
        <v>1.64</v>
      </c>
      <c r="X177">
        <f t="shared" si="14"/>
        <v>4.55555555555556</v>
      </c>
      <c r="Y177">
        <v>273.15</v>
      </c>
    </row>
    <row r="178" spans="1:25">
      <c r="A178" t="s">
        <v>260</v>
      </c>
      <c r="B178" t="s">
        <v>261</v>
      </c>
      <c r="C178" t="s">
        <v>24</v>
      </c>
      <c r="D178" t="s">
        <v>25</v>
      </c>
      <c r="E178" t="s">
        <v>26</v>
      </c>
      <c r="F178" t="s">
        <v>27</v>
      </c>
      <c r="G178" t="s">
        <v>262</v>
      </c>
      <c r="H178" t="s">
        <v>29</v>
      </c>
      <c r="I178" t="s">
        <v>30</v>
      </c>
      <c r="J178" t="s">
        <v>31</v>
      </c>
      <c r="L178">
        <v>60</v>
      </c>
      <c r="M178">
        <v>100</v>
      </c>
      <c r="N178">
        <v>0.76</v>
      </c>
      <c r="O178">
        <f t="shared" si="10"/>
        <v>-1.31892710331132</v>
      </c>
      <c r="P178">
        <v>1</v>
      </c>
      <c r="Q178">
        <v>0</v>
      </c>
      <c r="R178">
        <f t="shared" si="11"/>
        <v>333.15</v>
      </c>
      <c r="U178">
        <v>0.001987</v>
      </c>
      <c r="V178">
        <f t="shared" si="12"/>
        <v>0.24</v>
      </c>
      <c r="W178">
        <f t="shared" si="13"/>
        <v>1.76</v>
      </c>
      <c r="X178">
        <f t="shared" si="14"/>
        <v>7.33333333333333</v>
      </c>
      <c r="Y178">
        <v>273.15</v>
      </c>
    </row>
    <row r="179" spans="1:25">
      <c r="A179" t="s">
        <v>263</v>
      </c>
      <c r="B179" t="s">
        <v>261</v>
      </c>
      <c r="C179" t="s">
        <v>24</v>
      </c>
      <c r="D179" t="s">
        <v>33</v>
      </c>
      <c r="E179" t="s">
        <v>34</v>
      </c>
      <c r="F179" t="s">
        <v>35</v>
      </c>
      <c r="G179" t="s">
        <v>262</v>
      </c>
      <c r="H179" t="s">
        <v>29</v>
      </c>
      <c r="I179" t="s">
        <v>36</v>
      </c>
      <c r="J179" t="s">
        <v>37</v>
      </c>
      <c r="L179">
        <v>60</v>
      </c>
      <c r="M179">
        <v>100</v>
      </c>
      <c r="N179">
        <v>0.07</v>
      </c>
      <c r="O179">
        <f t="shared" si="10"/>
        <v>-0.092827483848213</v>
      </c>
      <c r="P179">
        <v>1</v>
      </c>
      <c r="Q179">
        <v>0</v>
      </c>
      <c r="R179">
        <f t="shared" si="11"/>
        <v>333.15</v>
      </c>
      <c r="U179">
        <v>0.001987</v>
      </c>
      <c r="V179">
        <f t="shared" si="12"/>
        <v>0.93</v>
      </c>
      <c r="W179">
        <f t="shared" si="13"/>
        <v>1.07</v>
      </c>
      <c r="X179">
        <f t="shared" si="14"/>
        <v>1.1505376344086</v>
      </c>
      <c r="Y179">
        <v>273.15</v>
      </c>
    </row>
    <row r="180" spans="1:25">
      <c r="A180" t="s">
        <v>264</v>
      </c>
      <c r="B180" t="s">
        <v>261</v>
      </c>
      <c r="C180" t="s">
        <v>24</v>
      </c>
      <c r="D180" t="s">
        <v>39</v>
      </c>
      <c r="E180" t="s">
        <v>40</v>
      </c>
      <c r="F180" t="s">
        <v>41</v>
      </c>
      <c r="G180" t="s">
        <v>262</v>
      </c>
      <c r="H180" t="s">
        <v>29</v>
      </c>
      <c r="I180" t="s">
        <v>42</v>
      </c>
      <c r="J180" t="s">
        <v>43</v>
      </c>
      <c r="L180">
        <v>60</v>
      </c>
      <c r="M180">
        <v>100</v>
      </c>
      <c r="N180">
        <v>0.64</v>
      </c>
      <c r="O180">
        <f t="shared" si="10"/>
        <v>-1.00377510700688</v>
      </c>
      <c r="P180">
        <v>1</v>
      </c>
      <c r="Q180">
        <v>0</v>
      </c>
      <c r="R180">
        <f t="shared" si="11"/>
        <v>333.15</v>
      </c>
      <c r="U180">
        <v>0.001987</v>
      </c>
      <c r="V180">
        <f t="shared" si="12"/>
        <v>0.36</v>
      </c>
      <c r="W180">
        <f t="shared" si="13"/>
        <v>1.64</v>
      </c>
      <c r="X180">
        <f t="shared" si="14"/>
        <v>4.55555555555556</v>
      </c>
      <c r="Y180">
        <v>273.15</v>
      </c>
    </row>
    <row r="181" spans="1:25">
      <c r="A181" t="s">
        <v>265</v>
      </c>
      <c r="B181" t="s">
        <v>261</v>
      </c>
      <c r="C181" t="s">
        <v>24</v>
      </c>
      <c r="D181" t="s">
        <v>45</v>
      </c>
      <c r="E181" t="s">
        <v>46</v>
      </c>
      <c r="F181" t="s">
        <v>47</v>
      </c>
      <c r="G181" t="s">
        <v>262</v>
      </c>
      <c r="H181" t="s">
        <v>29</v>
      </c>
      <c r="I181" t="s">
        <v>48</v>
      </c>
      <c r="J181" t="s">
        <v>49</v>
      </c>
      <c r="L181">
        <v>60</v>
      </c>
      <c r="M181">
        <v>100</v>
      </c>
      <c r="N181">
        <v>0.75</v>
      </c>
      <c r="O181">
        <f t="shared" si="10"/>
        <v>-1.2881322927555</v>
      </c>
      <c r="P181">
        <v>1</v>
      </c>
      <c r="Q181">
        <v>0</v>
      </c>
      <c r="R181">
        <f t="shared" si="11"/>
        <v>333.15</v>
      </c>
      <c r="U181">
        <v>0.001987</v>
      </c>
      <c r="V181">
        <f t="shared" si="12"/>
        <v>0.25</v>
      </c>
      <c r="W181">
        <f t="shared" si="13"/>
        <v>1.75</v>
      </c>
      <c r="X181">
        <f t="shared" si="14"/>
        <v>7</v>
      </c>
      <c r="Y181">
        <v>273.15</v>
      </c>
    </row>
    <row r="182" spans="1:25">
      <c r="A182" t="s">
        <v>266</v>
      </c>
      <c r="B182" t="s">
        <v>267</v>
      </c>
      <c r="C182" t="s">
        <v>24</v>
      </c>
      <c r="D182" t="s">
        <v>25</v>
      </c>
      <c r="E182" t="s">
        <v>26</v>
      </c>
      <c r="F182" t="s">
        <v>27</v>
      </c>
      <c r="G182" t="s">
        <v>268</v>
      </c>
      <c r="H182" t="s">
        <v>29</v>
      </c>
      <c r="I182" t="s">
        <v>30</v>
      </c>
      <c r="J182" t="s">
        <v>31</v>
      </c>
      <c r="L182">
        <v>60</v>
      </c>
      <c r="M182">
        <v>20</v>
      </c>
      <c r="N182">
        <v>0.8</v>
      </c>
      <c r="O182">
        <f t="shared" si="10"/>
        <v>-1.45449466609591</v>
      </c>
      <c r="P182">
        <v>1</v>
      </c>
      <c r="Q182">
        <v>1</v>
      </c>
      <c r="R182">
        <f t="shared" si="11"/>
        <v>333.15</v>
      </c>
      <c r="U182">
        <v>0.001987</v>
      </c>
      <c r="V182">
        <f t="shared" si="12"/>
        <v>0.2</v>
      </c>
      <c r="W182">
        <f t="shared" si="13"/>
        <v>1.8</v>
      </c>
      <c r="X182">
        <f t="shared" si="14"/>
        <v>9</v>
      </c>
      <c r="Y182">
        <v>273.15</v>
      </c>
    </row>
    <row r="183" spans="1:25">
      <c r="A183" t="s">
        <v>269</v>
      </c>
      <c r="B183" t="s">
        <v>267</v>
      </c>
      <c r="C183" t="s">
        <v>24</v>
      </c>
      <c r="D183" t="s">
        <v>33</v>
      </c>
      <c r="E183" t="s">
        <v>34</v>
      </c>
      <c r="F183" t="s">
        <v>35</v>
      </c>
      <c r="G183" t="s">
        <v>268</v>
      </c>
      <c r="H183" t="s">
        <v>29</v>
      </c>
      <c r="I183" t="s">
        <v>36</v>
      </c>
      <c r="J183" t="s">
        <v>37</v>
      </c>
      <c r="L183">
        <v>60</v>
      </c>
      <c r="M183">
        <v>20</v>
      </c>
      <c r="N183">
        <v>0.0678</v>
      </c>
      <c r="O183">
        <f t="shared" si="10"/>
        <v>-0.0899009258398705</v>
      </c>
      <c r="P183">
        <v>1</v>
      </c>
      <c r="Q183">
        <v>1</v>
      </c>
      <c r="R183">
        <f t="shared" si="11"/>
        <v>333.15</v>
      </c>
      <c r="U183">
        <v>0.001987</v>
      </c>
      <c r="V183">
        <f t="shared" si="12"/>
        <v>0.9322</v>
      </c>
      <c r="W183">
        <f t="shared" si="13"/>
        <v>1.0678</v>
      </c>
      <c r="X183">
        <f t="shared" si="14"/>
        <v>1.14546234713581</v>
      </c>
      <c r="Y183">
        <v>273.15</v>
      </c>
    </row>
    <row r="184" spans="1:25">
      <c r="A184" t="s">
        <v>270</v>
      </c>
      <c r="B184" t="s">
        <v>267</v>
      </c>
      <c r="C184" t="s">
        <v>24</v>
      </c>
      <c r="D184" t="s">
        <v>39</v>
      </c>
      <c r="E184" t="s">
        <v>40</v>
      </c>
      <c r="F184" t="s">
        <v>41</v>
      </c>
      <c r="G184" t="s">
        <v>268</v>
      </c>
      <c r="H184" t="s">
        <v>29</v>
      </c>
      <c r="I184" t="s">
        <v>42</v>
      </c>
      <c r="J184" t="s">
        <v>43</v>
      </c>
      <c r="L184">
        <v>60</v>
      </c>
      <c r="M184">
        <v>20</v>
      </c>
      <c r="N184">
        <v>0.223</v>
      </c>
      <c r="O184">
        <f t="shared" si="10"/>
        <v>-0.30028358228727</v>
      </c>
      <c r="P184">
        <v>1</v>
      </c>
      <c r="Q184">
        <v>1</v>
      </c>
      <c r="R184">
        <f t="shared" si="11"/>
        <v>333.15</v>
      </c>
      <c r="U184">
        <v>0.001987</v>
      </c>
      <c r="V184">
        <f t="shared" si="12"/>
        <v>0.777</v>
      </c>
      <c r="W184">
        <f t="shared" si="13"/>
        <v>1.223</v>
      </c>
      <c r="X184">
        <f t="shared" si="14"/>
        <v>1.57400257400257</v>
      </c>
      <c r="Y184">
        <v>273.15</v>
      </c>
    </row>
    <row r="185" spans="1:25">
      <c r="A185" t="s">
        <v>271</v>
      </c>
      <c r="B185" t="s">
        <v>267</v>
      </c>
      <c r="C185" t="s">
        <v>24</v>
      </c>
      <c r="D185" t="s">
        <v>45</v>
      </c>
      <c r="E185" t="s">
        <v>46</v>
      </c>
      <c r="F185" t="s">
        <v>47</v>
      </c>
      <c r="G185" t="s">
        <v>268</v>
      </c>
      <c r="H185" t="s">
        <v>29</v>
      </c>
      <c r="I185" t="s">
        <v>48</v>
      </c>
      <c r="J185" t="s">
        <v>49</v>
      </c>
      <c r="L185">
        <v>60</v>
      </c>
      <c r="M185">
        <v>20</v>
      </c>
      <c r="N185">
        <v>0.38</v>
      </c>
      <c r="O185">
        <f t="shared" si="10"/>
        <v>-0.52965421298188</v>
      </c>
      <c r="P185">
        <v>1</v>
      </c>
      <c r="Q185">
        <v>1</v>
      </c>
      <c r="R185">
        <f t="shared" si="11"/>
        <v>333.15</v>
      </c>
      <c r="U185">
        <v>0.001987</v>
      </c>
      <c r="V185">
        <f t="shared" si="12"/>
        <v>0.62</v>
      </c>
      <c r="W185">
        <f t="shared" si="13"/>
        <v>1.38</v>
      </c>
      <c r="X185">
        <f t="shared" si="14"/>
        <v>2.2258064516129</v>
      </c>
      <c r="Y185">
        <v>273.15</v>
      </c>
    </row>
    <row r="186" spans="1:25">
      <c r="A186" t="s">
        <v>272</v>
      </c>
      <c r="B186" t="s">
        <v>267</v>
      </c>
      <c r="C186" t="s">
        <v>24</v>
      </c>
      <c r="D186" t="s">
        <v>25</v>
      </c>
      <c r="E186" t="s">
        <v>26</v>
      </c>
      <c r="F186" t="s">
        <v>27</v>
      </c>
      <c r="G186" t="s">
        <v>268</v>
      </c>
      <c r="H186" t="s">
        <v>29</v>
      </c>
      <c r="I186" t="s">
        <v>30</v>
      </c>
      <c r="J186" t="s">
        <v>31</v>
      </c>
      <c r="L186">
        <v>60</v>
      </c>
      <c r="M186">
        <v>100</v>
      </c>
      <c r="N186">
        <v>0.82</v>
      </c>
      <c r="O186">
        <f t="shared" si="10"/>
        <v>-1.53155471611652</v>
      </c>
      <c r="P186">
        <v>1</v>
      </c>
      <c r="Q186">
        <v>1</v>
      </c>
      <c r="R186">
        <f t="shared" si="11"/>
        <v>333.15</v>
      </c>
      <c r="U186">
        <v>0.001987</v>
      </c>
      <c r="V186">
        <f t="shared" si="12"/>
        <v>0.18</v>
      </c>
      <c r="W186">
        <f t="shared" si="13"/>
        <v>1.82</v>
      </c>
      <c r="X186">
        <f t="shared" si="14"/>
        <v>10.1111111111111</v>
      </c>
      <c r="Y186">
        <v>273.15</v>
      </c>
    </row>
    <row r="187" spans="1:25">
      <c r="A187" t="s">
        <v>273</v>
      </c>
      <c r="B187" t="s">
        <v>267</v>
      </c>
      <c r="C187" t="s">
        <v>24</v>
      </c>
      <c r="D187" t="s">
        <v>33</v>
      </c>
      <c r="E187" t="s">
        <v>34</v>
      </c>
      <c r="F187" t="s">
        <v>35</v>
      </c>
      <c r="G187" t="s">
        <v>268</v>
      </c>
      <c r="H187" t="s">
        <v>29</v>
      </c>
      <c r="I187" t="s">
        <v>36</v>
      </c>
      <c r="J187" t="s">
        <v>37</v>
      </c>
      <c r="L187">
        <v>60</v>
      </c>
      <c r="M187">
        <v>100</v>
      </c>
      <c r="N187">
        <v>0.0064</v>
      </c>
      <c r="O187">
        <f t="shared" si="10"/>
        <v>-0.00847331953031954</v>
      </c>
      <c r="P187">
        <v>1</v>
      </c>
      <c r="Q187">
        <v>1</v>
      </c>
      <c r="R187">
        <f t="shared" si="11"/>
        <v>333.15</v>
      </c>
      <c r="U187">
        <v>0.001987</v>
      </c>
      <c r="V187">
        <f t="shared" si="12"/>
        <v>0.9936</v>
      </c>
      <c r="W187">
        <f t="shared" si="13"/>
        <v>1.0064</v>
      </c>
      <c r="X187">
        <f t="shared" si="14"/>
        <v>1.01288244766506</v>
      </c>
      <c r="Y187">
        <v>273.15</v>
      </c>
    </row>
    <row r="188" spans="1:25">
      <c r="A188" t="s">
        <v>274</v>
      </c>
      <c r="B188" t="s">
        <v>267</v>
      </c>
      <c r="C188" t="s">
        <v>24</v>
      </c>
      <c r="D188" t="s">
        <v>39</v>
      </c>
      <c r="E188" t="s">
        <v>40</v>
      </c>
      <c r="F188" t="s">
        <v>41</v>
      </c>
      <c r="G188" t="s">
        <v>268</v>
      </c>
      <c r="H188" t="s">
        <v>29</v>
      </c>
      <c r="I188" t="s">
        <v>42</v>
      </c>
      <c r="J188" t="s">
        <v>43</v>
      </c>
      <c r="L188">
        <v>60</v>
      </c>
      <c r="M188">
        <v>100</v>
      </c>
      <c r="N188">
        <v>0.775</v>
      </c>
      <c r="O188">
        <f t="shared" si="10"/>
        <v>-1.36726748256325</v>
      </c>
      <c r="P188">
        <v>1</v>
      </c>
      <c r="Q188">
        <v>1</v>
      </c>
      <c r="R188">
        <f t="shared" si="11"/>
        <v>333.15</v>
      </c>
      <c r="U188">
        <v>0.001987</v>
      </c>
      <c r="V188">
        <f t="shared" si="12"/>
        <v>0.225</v>
      </c>
      <c r="W188">
        <f t="shared" si="13"/>
        <v>1.775</v>
      </c>
      <c r="X188">
        <f t="shared" si="14"/>
        <v>7.88888888888889</v>
      </c>
      <c r="Y188">
        <v>273.15</v>
      </c>
    </row>
    <row r="189" spans="1:25">
      <c r="A189" t="s">
        <v>275</v>
      </c>
      <c r="B189" t="s">
        <v>267</v>
      </c>
      <c r="C189" t="s">
        <v>24</v>
      </c>
      <c r="D189" t="s">
        <v>45</v>
      </c>
      <c r="E189" t="s">
        <v>46</v>
      </c>
      <c r="F189" t="s">
        <v>47</v>
      </c>
      <c r="G189" t="s">
        <v>268</v>
      </c>
      <c r="H189" t="s">
        <v>29</v>
      </c>
      <c r="I189" t="s">
        <v>48</v>
      </c>
      <c r="J189" t="s">
        <v>49</v>
      </c>
      <c r="L189">
        <v>60</v>
      </c>
      <c r="M189">
        <v>100</v>
      </c>
      <c r="N189">
        <v>0.793</v>
      </c>
      <c r="O189">
        <f t="shared" si="10"/>
        <v>-1.42914264360417</v>
      </c>
      <c r="P189">
        <v>1</v>
      </c>
      <c r="Q189">
        <v>1</v>
      </c>
      <c r="R189">
        <f t="shared" si="11"/>
        <v>333.15</v>
      </c>
      <c r="U189">
        <v>0.001987</v>
      </c>
      <c r="V189">
        <f t="shared" si="12"/>
        <v>0.207</v>
      </c>
      <c r="W189">
        <f t="shared" si="13"/>
        <v>1.793</v>
      </c>
      <c r="X189">
        <f t="shared" si="14"/>
        <v>8.66183574879227</v>
      </c>
      <c r="Y189">
        <v>273.15</v>
      </c>
    </row>
    <row r="190" spans="1:25">
      <c r="A190" t="s">
        <v>276</v>
      </c>
      <c r="B190" t="s">
        <v>277</v>
      </c>
      <c r="C190" t="s">
        <v>278</v>
      </c>
      <c r="D190" t="s">
        <v>25</v>
      </c>
      <c r="E190" t="s">
        <v>26</v>
      </c>
      <c r="F190" t="s">
        <v>27</v>
      </c>
      <c r="G190" t="s">
        <v>279</v>
      </c>
      <c r="H190" t="s">
        <v>280</v>
      </c>
      <c r="I190" t="s">
        <v>30</v>
      </c>
      <c r="J190" t="s">
        <v>31</v>
      </c>
      <c r="L190">
        <v>60</v>
      </c>
      <c r="M190">
        <v>6</v>
      </c>
      <c r="N190">
        <v>-0.95</v>
      </c>
      <c r="O190">
        <f t="shared" si="10"/>
        <v>2.42516442250488</v>
      </c>
      <c r="P190">
        <v>1</v>
      </c>
      <c r="Q190">
        <v>0</v>
      </c>
      <c r="R190">
        <f t="shared" si="11"/>
        <v>333.15</v>
      </c>
      <c r="U190">
        <v>0.001987</v>
      </c>
      <c r="V190">
        <f t="shared" si="12"/>
        <v>1.95</v>
      </c>
      <c r="W190">
        <f t="shared" si="13"/>
        <v>0.05</v>
      </c>
      <c r="X190">
        <f t="shared" si="14"/>
        <v>0.0256410256410257</v>
      </c>
      <c r="Y190">
        <v>273.15</v>
      </c>
    </row>
    <row r="191" spans="1:25">
      <c r="A191" t="s">
        <v>281</v>
      </c>
      <c r="B191" t="s">
        <v>277</v>
      </c>
      <c r="C191" t="s">
        <v>278</v>
      </c>
      <c r="D191" t="s">
        <v>33</v>
      </c>
      <c r="E191" t="s">
        <v>34</v>
      </c>
      <c r="F191" t="s">
        <v>35</v>
      </c>
      <c r="G191" t="s">
        <v>279</v>
      </c>
      <c r="H191" t="s">
        <v>280</v>
      </c>
      <c r="I191" t="s">
        <v>36</v>
      </c>
      <c r="J191" t="s">
        <v>37</v>
      </c>
      <c r="L191">
        <v>60</v>
      </c>
      <c r="M191">
        <v>6</v>
      </c>
      <c r="N191">
        <v>-0.95</v>
      </c>
      <c r="O191">
        <f t="shared" si="10"/>
        <v>2.42516442250488</v>
      </c>
      <c r="P191">
        <v>1</v>
      </c>
      <c r="Q191">
        <v>0</v>
      </c>
      <c r="R191">
        <f t="shared" si="11"/>
        <v>333.15</v>
      </c>
      <c r="U191">
        <v>0.001987</v>
      </c>
      <c r="V191">
        <f t="shared" si="12"/>
        <v>1.95</v>
      </c>
      <c r="W191">
        <f t="shared" si="13"/>
        <v>0.05</v>
      </c>
      <c r="X191">
        <f t="shared" si="14"/>
        <v>0.0256410256410257</v>
      </c>
      <c r="Y191">
        <v>273.15</v>
      </c>
    </row>
    <row r="192" spans="1:25">
      <c r="A192" t="s">
        <v>282</v>
      </c>
      <c r="B192" t="s">
        <v>277</v>
      </c>
      <c r="C192" t="s">
        <v>278</v>
      </c>
      <c r="D192" t="s">
        <v>39</v>
      </c>
      <c r="E192" t="s">
        <v>40</v>
      </c>
      <c r="F192" t="s">
        <v>41</v>
      </c>
      <c r="G192" t="s">
        <v>279</v>
      </c>
      <c r="H192" t="s">
        <v>280</v>
      </c>
      <c r="I192" t="s">
        <v>42</v>
      </c>
      <c r="J192" t="s">
        <v>43</v>
      </c>
      <c r="L192">
        <v>60</v>
      </c>
      <c r="M192">
        <v>6</v>
      </c>
      <c r="N192">
        <v>-0.94</v>
      </c>
      <c r="O192">
        <f t="shared" si="10"/>
        <v>2.3010697474165</v>
      </c>
      <c r="P192">
        <v>1</v>
      </c>
      <c r="Q192">
        <v>0</v>
      </c>
      <c r="R192">
        <f t="shared" si="11"/>
        <v>333.15</v>
      </c>
      <c r="U192">
        <v>0.001987</v>
      </c>
      <c r="V192">
        <f t="shared" si="12"/>
        <v>1.94</v>
      </c>
      <c r="W192">
        <f t="shared" si="13"/>
        <v>0.0600000000000001</v>
      </c>
      <c r="X192">
        <f t="shared" si="14"/>
        <v>0.0309278350515464</v>
      </c>
      <c r="Y192">
        <v>273.15</v>
      </c>
    </row>
    <row r="193" spans="1:25">
      <c r="A193" t="s">
        <v>283</v>
      </c>
      <c r="B193" t="s">
        <v>277</v>
      </c>
      <c r="C193" t="s">
        <v>278</v>
      </c>
      <c r="D193" t="s">
        <v>45</v>
      </c>
      <c r="E193" t="s">
        <v>46</v>
      </c>
      <c r="F193" t="s">
        <v>47</v>
      </c>
      <c r="G193" t="s">
        <v>279</v>
      </c>
      <c r="H193" t="s">
        <v>280</v>
      </c>
      <c r="I193" t="s">
        <v>48</v>
      </c>
      <c r="J193" t="s">
        <v>49</v>
      </c>
      <c r="L193">
        <v>60</v>
      </c>
      <c r="M193">
        <v>6</v>
      </c>
      <c r="N193">
        <v>-0.97</v>
      </c>
      <c r="O193">
        <f t="shared" si="10"/>
        <v>2.77007002022119</v>
      </c>
      <c r="P193">
        <v>1</v>
      </c>
      <c r="Q193">
        <v>0</v>
      </c>
      <c r="R193">
        <f t="shared" si="11"/>
        <v>333.15</v>
      </c>
      <c r="U193">
        <v>0.001987</v>
      </c>
      <c r="V193">
        <f t="shared" si="12"/>
        <v>1.97</v>
      </c>
      <c r="W193">
        <f t="shared" si="13"/>
        <v>0.03</v>
      </c>
      <c r="X193">
        <f t="shared" si="14"/>
        <v>0.0152284263959391</v>
      </c>
      <c r="Y193">
        <v>273.15</v>
      </c>
    </row>
    <row r="194" spans="1:25">
      <c r="A194" t="s">
        <v>284</v>
      </c>
      <c r="B194" t="s">
        <v>285</v>
      </c>
      <c r="C194" t="s">
        <v>278</v>
      </c>
      <c r="D194" t="s">
        <v>25</v>
      </c>
      <c r="E194" t="s">
        <v>26</v>
      </c>
      <c r="F194" t="s">
        <v>27</v>
      </c>
      <c r="G194" t="s">
        <v>286</v>
      </c>
      <c r="H194" t="s">
        <v>280</v>
      </c>
      <c r="I194" t="s">
        <v>30</v>
      </c>
      <c r="J194" t="s">
        <v>31</v>
      </c>
      <c r="L194">
        <v>60</v>
      </c>
      <c r="M194">
        <v>6</v>
      </c>
      <c r="N194">
        <v>-0.75</v>
      </c>
      <c r="O194">
        <f t="shared" si="10"/>
        <v>1.2881322927555</v>
      </c>
      <c r="P194">
        <v>1</v>
      </c>
      <c r="Q194">
        <v>0</v>
      </c>
      <c r="R194">
        <f t="shared" si="11"/>
        <v>333.15</v>
      </c>
      <c r="U194">
        <v>0.001987</v>
      </c>
      <c r="V194">
        <f t="shared" si="12"/>
        <v>1.75</v>
      </c>
      <c r="W194">
        <f t="shared" si="13"/>
        <v>0.25</v>
      </c>
      <c r="X194">
        <f t="shared" si="14"/>
        <v>0.142857142857143</v>
      </c>
      <c r="Y194">
        <v>273.15</v>
      </c>
    </row>
    <row r="195" spans="1:25">
      <c r="A195" t="s">
        <v>287</v>
      </c>
      <c r="B195" t="s">
        <v>285</v>
      </c>
      <c r="C195" t="s">
        <v>278</v>
      </c>
      <c r="D195" t="s">
        <v>33</v>
      </c>
      <c r="E195" t="s">
        <v>34</v>
      </c>
      <c r="F195" t="s">
        <v>35</v>
      </c>
      <c r="G195" t="s">
        <v>286</v>
      </c>
      <c r="H195" t="s">
        <v>280</v>
      </c>
      <c r="I195" t="s">
        <v>36</v>
      </c>
      <c r="J195" t="s">
        <v>37</v>
      </c>
      <c r="L195">
        <v>60</v>
      </c>
      <c r="M195">
        <v>6</v>
      </c>
      <c r="N195">
        <v>-0.9</v>
      </c>
      <c r="O195">
        <f t="shared" ref="O195:O258" si="15">-U195*R195*LN(X195)</f>
        <v>1.94912747382178</v>
      </c>
      <c r="P195">
        <v>1</v>
      </c>
      <c r="Q195">
        <v>0</v>
      </c>
      <c r="R195">
        <f t="shared" ref="R195:R258" si="16">L195+Y195</f>
        <v>333.15</v>
      </c>
      <c r="U195">
        <v>0.001987</v>
      </c>
      <c r="V195">
        <f t="shared" ref="V195:V258" si="17">1-N195</f>
        <v>1.9</v>
      </c>
      <c r="W195">
        <f t="shared" ref="W195:W258" si="18">1+N195</f>
        <v>0.1</v>
      </c>
      <c r="X195">
        <f t="shared" ref="X195:X258" si="19">W195/V195</f>
        <v>0.0526315789473684</v>
      </c>
      <c r="Y195">
        <v>273.15</v>
      </c>
    </row>
    <row r="196" spans="1:25">
      <c r="A196" t="s">
        <v>288</v>
      </c>
      <c r="B196" t="s">
        <v>285</v>
      </c>
      <c r="C196" t="s">
        <v>278</v>
      </c>
      <c r="D196" t="s">
        <v>39</v>
      </c>
      <c r="E196" t="s">
        <v>40</v>
      </c>
      <c r="F196" t="s">
        <v>41</v>
      </c>
      <c r="G196" t="s">
        <v>286</v>
      </c>
      <c r="H196" t="s">
        <v>280</v>
      </c>
      <c r="I196" t="s">
        <v>42</v>
      </c>
      <c r="J196" t="s">
        <v>43</v>
      </c>
      <c r="L196">
        <v>60</v>
      </c>
      <c r="M196">
        <v>6</v>
      </c>
      <c r="N196">
        <v>-0.79</v>
      </c>
      <c r="O196">
        <f t="shared" si="15"/>
        <v>1.41850922807243</v>
      </c>
      <c r="P196">
        <v>1</v>
      </c>
      <c r="Q196">
        <v>0</v>
      </c>
      <c r="R196">
        <f t="shared" si="16"/>
        <v>333.15</v>
      </c>
      <c r="U196">
        <v>0.001987</v>
      </c>
      <c r="V196">
        <f t="shared" si="17"/>
        <v>1.79</v>
      </c>
      <c r="W196">
        <f t="shared" si="18"/>
        <v>0.21</v>
      </c>
      <c r="X196">
        <f t="shared" si="19"/>
        <v>0.11731843575419</v>
      </c>
      <c r="Y196">
        <v>273.15</v>
      </c>
    </row>
    <row r="197" spans="1:25">
      <c r="A197" t="s">
        <v>289</v>
      </c>
      <c r="B197" t="s">
        <v>285</v>
      </c>
      <c r="C197" t="s">
        <v>278</v>
      </c>
      <c r="D197" t="s">
        <v>45</v>
      </c>
      <c r="E197" t="s">
        <v>46</v>
      </c>
      <c r="F197" t="s">
        <v>47</v>
      </c>
      <c r="G197" t="s">
        <v>286</v>
      </c>
      <c r="H197" t="s">
        <v>280</v>
      </c>
      <c r="I197" t="s">
        <v>48</v>
      </c>
      <c r="J197" t="s">
        <v>49</v>
      </c>
      <c r="L197">
        <v>60</v>
      </c>
      <c r="M197">
        <v>6</v>
      </c>
      <c r="N197">
        <v>-0.83</v>
      </c>
      <c r="O197">
        <f t="shared" si="15"/>
        <v>1.57301905377237</v>
      </c>
      <c r="P197">
        <v>1</v>
      </c>
      <c r="Q197">
        <v>0</v>
      </c>
      <c r="R197">
        <f t="shared" si="16"/>
        <v>333.15</v>
      </c>
      <c r="U197">
        <v>0.001987</v>
      </c>
      <c r="V197">
        <f t="shared" si="17"/>
        <v>1.83</v>
      </c>
      <c r="W197">
        <f t="shared" si="18"/>
        <v>0.17</v>
      </c>
      <c r="X197">
        <f t="shared" si="19"/>
        <v>0.092896174863388</v>
      </c>
      <c r="Y197">
        <v>273.15</v>
      </c>
    </row>
    <row r="198" spans="1:25">
      <c r="A198" t="s">
        <v>290</v>
      </c>
      <c r="B198" t="s">
        <v>291</v>
      </c>
      <c r="C198" t="s">
        <v>278</v>
      </c>
      <c r="D198" t="s">
        <v>25</v>
      </c>
      <c r="E198" t="s">
        <v>26</v>
      </c>
      <c r="F198" t="s">
        <v>27</v>
      </c>
      <c r="G198" t="s">
        <v>292</v>
      </c>
      <c r="H198" t="s">
        <v>280</v>
      </c>
      <c r="I198" t="s">
        <v>30</v>
      </c>
      <c r="J198" t="s">
        <v>31</v>
      </c>
      <c r="L198">
        <v>60</v>
      </c>
      <c r="M198">
        <v>6</v>
      </c>
      <c r="N198">
        <v>-0.94</v>
      </c>
      <c r="O198">
        <f t="shared" si="15"/>
        <v>2.3010697474165</v>
      </c>
      <c r="P198">
        <v>1</v>
      </c>
      <c r="Q198">
        <v>0</v>
      </c>
      <c r="R198">
        <f t="shared" si="16"/>
        <v>333.15</v>
      </c>
      <c r="U198">
        <v>0.001987</v>
      </c>
      <c r="V198">
        <f t="shared" si="17"/>
        <v>1.94</v>
      </c>
      <c r="W198">
        <f t="shared" si="18"/>
        <v>0.0600000000000001</v>
      </c>
      <c r="X198">
        <f t="shared" si="19"/>
        <v>0.0309278350515464</v>
      </c>
      <c r="Y198">
        <v>273.15</v>
      </c>
    </row>
    <row r="199" spans="1:25">
      <c r="A199" t="s">
        <v>293</v>
      </c>
      <c r="B199" t="s">
        <v>291</v>
      </c>
      <c r="C199" t="s">
        <v>278</v>
      </c>
      <c r="D199" t="s">
        <v>33</v>
      </c>
      <c r="E199" t="s">
        <v>34</v>
      </c>
      <c r="F199" t="s">
        <v>35</v>
      </c>
      <c r="G199" t="s">
        <v>292</v>
      </c>
      <c r="H199" t="s">
        <v>280</v>
      </c>
      <c r="I199" t="s">
        <v>36</v>
      </c>
      <c r="J199" t="s">
        <v>37</v>
      </c>
      <c r="L199">
        <v>60</v>
      </c>
      <c r="M199">
        <v>6</v>
      </c>
      <c r="N199">
        <v>-0.95</v>
      </c>
      <c r="O199">
        <f t="shared" si="15"/>
        <v>2.42516442250488</v>
      </c>
      <c r="P199">
        <v>1</v>
      </c>
      <c r="Q199">
        <v>0</v>
      </c>
      <c r="R199">
        <f t="shared" si="16"/>
        <v>333.15</v>
      </c>
      <c r="U199">
        <v>0.001987</v>
      </c>
      <c r="V199">
        <f t="shared" si="17"/>
        <v>1.95</v>
      </c>
      <c r="W199">
        <f t="shared" si="18"/>
        <v>0.05</v>
      </c>
      <c r="X199">
        <f t="shared" si="19"/>
        <v>0.0256410256410257</v>
      </c>
      <c r="Y199">
        <v>273.15</v>
      </c>
    </row>
    <row r="200" spans="1:25">
      <c r="A200" t="s">
        <v>294</v>
      </c>
      <c r="B200" t="s">
        <v>291</v>
      </c>
      <c r="C200" t="s">
        <v>278</v>
      </c>
      <c r="D200" t="s">
        <v>39</v>
      </c>
      <c r="E200" t="s">
        <v>40</v>
      </c>
      <c r="F200" t="s">
        <v>41</v>
      </c>
      <c r="G200" t="s">
        <v>292</v>
      </c>
      <c r="H200" t="s">
        <v>280</v>
      </c>
      <c r="I200" t="s">
        <v>42</v>
      </c>
      <c r="J200" t="s">
        <v>43</v>
      </c>
      <c r="L200">
        <v>60</v>
      </c>
      <c r="M200">
        <v>6</v>
      </c>
      <c r="N200">
        <v>-0.93</v>
      </c>
      <c r="O200">
        <f t="shared" si="15"/>
        <v>2.19560573203818</v>
      </c>
      <c r="P200">
        <v>1</v>
      </c>
      <c r="Q200">
        <v>0</v>
      </c>
      <c r="R200">
        <f t="shared" si="16"/>
        <v>333.15</v>
      </c>
      <c r="U200">
        <v>0.001987</v>
      </c>
      <c r="V200">
        <f t="shared" si="17"/>
        <v>1.93</v>
      </c>
      <c r="W200">
        <f t="shared" si="18"/>
        <v>0.07</v>
      </c>
      <c r="X200">
        <f t="shared" si="19"/>
        <v>0.0362694300518134</v>
      </c>
      <c r="Y200">
        <v>273.15</v>
      </c>
    </row>
    <row r="201" spans="1:25">
      <c r="A201" t="s">
        <v>295</v>
      </c>
      <c r="B201" t="s">
        <v>291</v>
      </c>
      <c r="C201" t="s">
        <v>278</v>
      </c>
      <c r="D201" t="s">
        <v>45</v>
      </c>
      <c r="E201" t="s">
        <v>46</v>
      </c>
      <c r="F201" t="s">
        <v>47</v>
      </c>
      <c r="G201" t="s">
        <v>292</v>
      </c>
      <c r="H201" t="s">
        <v>280</v>
      </c>
      <c r="I201" t="s">
        <v>48</v>
      </c>
      <c r="J201" t="s">
        <v>49</v>
      </c>
      <c r="L201">
        <v>60</v>
      </c>
      <c r="M201">
        <v>6</v>
      </c>
      <c r="N201">
        <v>-0.95</v>
      </c>
      <c r="O201">
        <f t="shared" si="15"/>
        <v>2.42516442250488</v>
      </c>
      <c r="P201">
        <v>1</v>
      </c>
      <c r="Q201">
        <v>0</v>
      </c>
      <c r="R201">
        <f t="shared" si="16"/>
        <v>333.15</v>
      </c>
      <c r="U201">
        <v>0.001987</v>
      </c>
      <c r="V201">
        <f t="shared" si="17"/>
        <v>1.95</v>
      </c>
      <c r="W201">
        <f t="shared" si="18"/>
        <v>0.05</v>
      </c>
      <c r="X201">
        <f t="shared" si="19"/>
        <v>0.0256410256410257</v>
      </c>
      <c r="Y201">
        <v>273.15</v>
      </c>
    </row>
    <row r="202" spans="1:25">
      <c r="A202" t="s">
        <v>296</v>
      </c>
      <c r="B202" t="s">
        <v>297</v>
      </c>
      <c r="C202" t="s">
        <v>278</v>
      </c>
      <c r="D202" t="s">
        <v>25</v>
      </c>
      <c r="E202" t="s">
        <v>26</v>
      </c>
      <c r="F202" t="s">
        <v>27</v>
      </c>
      <c r="G202" t="s">
        <v>298</v>
      </c>
      <c r="H202" t="s">
        <v>280</v>
      </c>
      <c r="I202" t="s">
        <v>30</v>
      </c>
      <c r="J202" t="s">
        <v>31</v>
      </c>
      <c r="L202">
        <v>60</v>
      </c>
      <c r="M202">
        <v>6</v>
      </c>
      <c r="N202">
        <v>0.39</v>
      </c>
      <c r="O202">
        <f t="shared" si="15"/>
        <v>-0.545197755227652</v>
      </c>
      <c r="P202">
        <v>0.2</v>
      </c>
      <c r="Q202">
        <v>0</v>
      </c>
      <c r="R202">
        <f t="shared" si="16"/>
        <v>333.15</v>
      </c>
      <c r="U202">
        <v>0.001987</v>
      </c>
      <c r="V202">
        <f t="shared" si="17"/>
        <v>0.61</v>
      </c>
      <c r="W202">
        <f t="shared" si="18"/>
        <v>1.39</v>
      </c>
      <c r="X202">
        <f t="shared" si="19"/>
        <v>2.27868852459016</v>
      </c>
      <c r="Y202">
        <v>273.15</v>
      </c>
    </row>
    <row r="203" spans="1:25">
      <c r="A203" t="s">
        <v>299</v>
      </c>
      <c r="B203" t="s">
        <v>297</v>
      </c>
      <c r="C203" t="s">
        <v>278</v>
      </c>
      <c r="D203" t="s">
        <v>33</v>
      </c>
      <c r="E203" t="s">
        <v>34</v>
      </c>
      <c r="F203" t="s">
        <v>35</v>
      </c>
      <c r="G203" t="s">
        <v>298</v>
      </c>
      <c r="H203" t="s">
        <v>280</v>
      </c>
      <c r="I203" t="s">
        <v>36</v>
      </c>
      <c r="J203" t="s">
        <v>37</v>
      </c>
      <c r="L203">
        <v>60</v>
      </c>
      <c r="M203">
        <v>6</v>
      </c>
      <c r="N203">
        <v>0.06</v>
      </c>
      <c r="O203">
        <f t="shared" si="15"/>
        <v>-0.0795318159729945</v>
      </c>
      <c r="P203">
        <v>0.2</v>
      </c>
      <c r="Q203">
        <v>0</v>
      </c>
      <c r="R203">
        <f t="shared" si="16"/>
        <v>333.15</v>
      </c>
      <c r="U203">
        <v>0.001987</v>
      </c>
      <c r="V203">
        <f t="shared" si="17"/>
        <v>0.94</v>
      </c>
      <c r="W203">
        <f t="shared" si="18"/>
        <v>1.06</v>
      </c>
      <c r="X203">
        <f t="shared" si="19"/>
        <v>1.12765957446809</v>
      </c>
      <c r="Y203">
        <v>273.15</v>
      </c>
    </row>
    <row r="204" spans="1:25">
      <c r="A204" t="s">
        <v>300</v>
      </c>
      <c r="B204" t="s">
        <v>297</v>
      </c>
      <c r="C204" t="s">
        <v>278</v>
      </c>
      <c r="D204" t="s">
        <v>39</v>
      </c>
      <c r="E204" t="s">
        <v>40</v>
      </c>
      <c r="F204" t="s">
        <v>41</v>
      </c>
      <c r="G204" t="s">
        <v>298</v>
      </c>
      <c r="H204" t="s">
        <v>280</v>
      </c>
      <c r="I204" t="s">
        <v>42</v>
      </c>
      <c r="J204" t="s">
        <v>43</v>
      </c>
      <c r="L204">
        <v>60</v>
      </c>
      <c r="M204">
        <v>6</v>
      </c>
      <c r="N204">
        <v>0</v>
      </c>
      <c r="O204">
        <f t="shared" si="15"/>
        <v>0</v>
      </c>
      <c r="P204">
        <v>0</v>
      </c>
      <c r="Q204">
        <v>0</v>
      </c>
      <c r="R204">
        <f t="shared" si="16"/>
        <v>333.15</v>
      </c>
      <c r="U204">
        <v>0.001987</v>
      </c>
      <c r="V204">
        <f t="shared" si="17"/>
        <v>1</v>
      </c>
      <c r="W204">
        <f t="shared" si="18"/>
        <v>1</v>
      </c>
      <c r="X204">
        <f t="shared" si="19"/>
        <v>1</v>
      </c>
      <c r="Y204">
        <v>273.15</v>
      </c>
    </row>
    <row r="205" spans="1:25">
      <c r="A205" t="s">
        <v>301</v>
      </c>
      <c r="B205" t="s">
        <v>297</v>
      </c>
      <c r="C205" t="s">
        <v>278</v>
      </c>
      <c r="D205" t="s">
        <v>45</v>
      </c>
      <c r="E205" t="s">
        <v>46</v>
      </c>
      <c r="F205" t="s">
        <v>47</v>
      </c>
      <c r="G205" t="s">
        <v>298</v>
      </c>
      <c r="H205" t="s">
        <v>280</v>
      </c>
      <c r="I205" t="s">
        <v>48</v>
      </c>
      <c r="J205" t="s">
        <v>49</v>
      </c>
      <c r="L205">
        <v>60</v>
      </c>
      <c r="M205">
        <v>6</v>
      </c>
      <c r="N205">
        <v>0</v>
      </c>
      <c r="O205">
        <f t="shared" si="15"/>
        <v>0</v>
      </c>
      <c r="P205">
        <v>0</v>
      </c>
      <c r="Q205">
        <v>0</v>
      </c>
      <c r="R205">
        <f t="shared" si="16"/>
        <v>333.15</v>
      </c>
      <c r="U205">
        <v>0.001987</v>
      </c>
      <c r="V205">
        <f t="shared" si="17"/>
        <v>1</v>
      </c>
      <c r="W205">
        <f t="shared" si="18"/>
        <v>1</v>
      </c>
      <c r="X205">
        <f t="shared" si="19"/>
        <v>1</v>
      </c>
      <c r="Y205">
        <v>273.15</v>
      </c>
    </row>
    <row r="206" spans="1:25">
      <c r="A206" t="s">
        <v>302</v>
      </c>
      <c r="B206" t="s">
        <v>303</v>
      </c>
      <c r="C206" t="s">
        <v>278</v>
      </c>
      <c r="D206" t="s">
        <v>25</v>
      </c>
      <c r="E206" t="s">
        <v>26</v>
      </c>
      <c r="F206" t="s">
        <v>27</v>
      </c>
      <c r="G206" t="s">
        <v>304</v>
      </c>
      <c r="H206" t="s">
        <v>280</v>
      </c>
      <c r="I206" t="s">
        <v>30</v>
      </c>
      <c r="J206" t="s">
        <v>31</v>
      </c>
      <c r="L206">
        <v>60</v>
      </c>
      <c r="M206">
        <v>6</v>
      </c>
      <c r="N206">
        <v>-0.28</v>
      </c>
      <c r="O206">
        <f t="shared" si="15"/>
        <v>0.380873256405873</v>
      </c>
      <c r="P206">
        <v>0.77</v>
      </c>
      <c r="Q206">
        <v>0</v>
      </c>
      <c r="R206">
        <f t="shared" si="16"/>
        <v>333.15</v>
      </c>
      <c r="U206">
        <v>0.001987</v>
      </c>
      <c r="V206">
        <f t="shared" si="17"/>
        <v>1.28</v>
      </c>
      <c r="W206">
        <f t="shared" si="18"/>
        <v>0.72</v>
      </c>
      <c r="X206">
        <f t="shared" si="19"/>
        <v>0.5625</v>
      </c>
      <c r="Y206">
        <v>273.15</v>
      </c>
    </row>
    <row r="207" spans="1:25">
      <c r="A207" t="s">
        <v>305</v>
      </c>
      <c r="B207" t="s">
        <v>303</v>
      </c>
      <c r="C207" t="s">
        <v>278</v>
      </c>
      <c r="D207" t="s">
        <v>33</v>
      </c>
      <c r="E207" t="s">
        <v>34</v>
      </c>
      <c r="F207" t="s">
        <v>35</v>
      </c>
      <c r="G207" t="s">
        <v>304</v>
      </c>
      <c r="H207" t="s">
        <v>280</v>
      </c>
      <c r="I207" t="s">
        <v>36</v>
      </c>
      <c r="J207" t="s">
        <v>37</v>
      </c>
      <c r="L207">
        <v>60</v>
      </c>
      <c r="M207">
        <v>6</v>
      </c>
      <c r="N207">
        <v>-0.41</v>
      </c>
      <c r="O207">
        <f t="shared" si="15"/>
        <v>0.576722295230043</v>
      </c>
      <c r="P207">
        <v>0.87</v>
      </c>
      <c r="Q207">
        <v>0</v>
      </c>
      <c r="R207">
        <f t="shared" si="16"/>
        <v>333.15</v>
      </c>
      <c r="U207">
        <v>0.001987</v>
      </c>
      <c r="V207">
        <f t="shared" si="17"/>
        <v>1.41</v>
      </c>
      <c r="W207">
        <f t="shared" si="18"/>
        <v>0.59</v>
      </c>
      <c r="X207">
        <f t="shared" si="19"/>
        <v>0.418439716312057</v>
      </c>
      <c r="Y207">
        <v>273.15</v>
      </c>
    </row>
    <row r="208" spans="1:25">
      <c r="A208" t="s">
        <v>306</v>
      </c>
      <c r="B208" t="s">
        <v>303</v>
      </c>
      <c r="C208" t="s">
        <v>278</v>
      </c>
      <c r="D208" t="s">
        <v>39</v>
      </c>
      <c r="E208" t="s">
        <v>40</v>
      </c>
      <c r="F208" t="s">
        <v>41</v>
      </c>
      <c r="G208" t="s">
        <v>304</v>
      </c>
      <c r="H208" t="s">
        <v>280</v>
      </c>
      <c r="I208" t="s">
        <v>42</v>
      </c>
      <c r="J208" t="s">
        <v>43</v>
      </c>
      <c r="L208">
        <v>60</v>
      </c>
      <c r="M208">
        <v>6</v>
      </c>
      <c r="N208">
        <v>0.21</v>
      </c>
      <c r="O208">
        <f t="shared" si="15"/>
        <v>-0.282225667545522</v>
      </c>
      <c r="P208">
        <v>0.25</v>
      </c>
      <c r="Q208">
        <v>0</v>
      </c>
      <c r="R208">
        <f t="shared" si="16"/>
        <v>333.15</v>
      </c>
      <c r="U208">
        <v>0.001987</v>
      </c>
      <c r="V208">
        <f t="shared" si="17"/>
        <v>0.79</v>
      </c>
      <c r="W208">
        <f t="shared" si="18"/>
        <v>1.21</v>
      </c>
      <c r="X208">
        <f t="shared" si="19"/>
        <v>1.53164556962025</v>
      </c>
      <c r="Y208">
        <v>273.15</v>
      </c>
    </row>
    <row r="209" spans="1:25">
      <c r="A209" t="s">
        <v>307</v>
      </c>
      <c r="B209" t="s">
        <v>303</v>
      </c>
      <c r="C209" t="s">
        <v>278</v>
      </c>
      <c r="D209" t="s">
        <v>45</v>
      </c>
      <c r="E209" t="s">
        <v>46</v>
      </c>
      <c r="F209" t="s">
        <v>47</v>
      </c>
      <c r="G209" t="s">
        <v>304</v>
      </c>
      <c r="H209" t="s">
        <v>280</v>
      </c>
      <c r="I209" t="s">
        <v>48</v>
      </c>
      <c r="J209" t="s">
        <v>49</v>
      </c>
      <c r="L209">
        <v>60</v>
      </c>
      <c r="M209">
        <v>6</v>
      </c>
      <c r="N209">
        <v>0.17</v>
      </c>
      <c r="O209">
        <f t="shared" si="15"/>
        <v>-0.227276036308296</v>
      </c>
      <c r="P209">
        <v>0.17</v>
      </c>
      <c r="Q209">
        <v>0</v>
      </c>
      <c r="R209">
        <f t="shared" si="16"/>
        <v>333.15</v>
      </c>
      <c r="U209">
        <v>0.001987</v>
      </c>
      <c r="V209">
        <f t="shared" si="17"/>
        <v>0.83</v>
      </c>
      <c r="W209">
        <f t="shared" si="18"/>
        <v>1.17</v>
      </c>
      <c r="X209">
        <f t="shared" si="19"/>
        <v>1.40963855421687</v>
      </c>
      <c r="Y209">
        <v>273.15</v>
      </c>
    </row>
    <row r="210" spans="1:25">
      <c r="A210" t="s">
        <v>308</v>
      </c>
      <c r="B210" t="s">
        <v>309</v>
      </c>
      <c r="C210" t="s">
        <v>24</v>
      </c>
      <c r="D210" t="s">
        <v>25</v>
      </c>
      <c r="E210" t="s">
        <v>26</v>
      </c>
      <c r="F210" t="s">
        <v>27</v>
      </c>
      <c r="G210" t="s">
        <v>310</v>
      </c>
      <c r="H210" t="s">
        <v>29</v>
      </c>
      <c r="I210" t="s">
        <v>30</v>
      </c>
      <c r="J210" t="s">
        <v>31</v>
      </c>
      <c r="L210">
        <v>60</v>
      </c>
      <c r="M210">
        <v>20</v>
      </c>
      <c r="N210">
        <v>-0.04</v>
      </c>
      <c r="O210">
        <f t="shared" si="15"/>
        <v>0.0529857951580787</v>
      </c>
      <c r="P210">
        <v>1</v>
      </c>
      <c r="Q210">
        <v>0</v>
      </c>
      <c r="R210">
        <f t="shared" si="16"/>
        <v>333.15</v>
      </c>
      <c r="U210">
        <v>0.001987</v>
      </c>
      <c r="V210">
        <f t="shared" si="17"/>
        <v>1.04</v>
      </c>
      <c r="W210">
        <f t="shared" si="18"/>
        <v>0.96</v>
      </c>
      <c r="X210">
        <f t="shared" si="19"/>
        <v>0.923076923076923</v>
      </c>
      <c r="Y210">
        <v>273.15</v>
      </c>
    </row>
    <row r="211" spans="1:25">
      <c r="A211" t="s">
        <v>311</v>
      </c>
      <c r="B211" t="s">
        <v>309</v>
      </c>
      <c r="C211" t="s">
        <v>24</v>
      </c>
      <c r="D211" t="s">
        <v>33</v>
      </c>
      <c r="E211" t="s">
        <v>34</v>
      </c>
      <c r="F211" t="s">
        <v>35</v>
      </c>
      <c r="G211" t="s">
        <v>310</v>
      </c>
      <c r="H211" t="s">
        <v>29</v>
      </c>
      <c r="I211" t="s">
        <v>36</v>
      </c>
      <c r="J211" t="s">
        <v>37</v>
      </c>
      <c r="L211">
        <v>60</v>
      </c>
      <c r="M211">
        <v>20</v>
      </c>
      <c r="N211">
        <v>0.06</v>
      </c>
      <c r="O211">
        <f t="shared" si="15"/>
        <v>-0.0795318159729945</v>
      </c>
      <c r="P211">
        <v>1</v>
      </c>
      <c r="Q211">
        <v>0</v>
      </c>
      <c r="R211">
        <f t="shared" si="16"/>
        <v>333.15</v>
      </c>
      <c r="U211">
        <v>0.001987</v>
      </c>
      <c r="V211">
        <f t="shared" si="17"/>
        <v>0.94</v>
      </c>
      <c r="W211">
        <f t="shared" si="18"/>
        <v>1.06</v>
      </c>
      <c r="X211">
        <f t="shared" si="19"/>
        <v>1.12765957446809</v>
      </c>
      <c r="Y211">
        <v>273.15</v>
      </c>
    </row>
    <row r="212" spans="1:25">
      <c r="A212" t="s">
        <v>312</v>
      </c>
      <c r="B212" t="s">
        <v>309</v>
      </c>
      <c r="C212" t="s">
        <v>24</v>
      </c>
      <c r="D212" t="s">
        <v>39</v>
      </c>
      <c r="E212" t="s">
        <v>40</v>
      </c>
      <c r="F212" t="s">
        <v>41</v>
      </c>
      <c r="G212" t="s">
        <v>310</v>
      </c>
      <c r="H212" t="s">
        <v>29</v>
      </c>
      <c r="I212" t="s">
        <v>42</v>
      </c>
      <c r="J212" t="s">
        <v>43</v>
      </c>
      <c r="L212">
        <v>60</v>
      </c>
      <c r="M212">
        <v>20</v>
      </c>
      <c r="N212">
        <v>-0.03</v>
      </c>
      <c r="O212">
        <f t="shared" si="15"/>
        <v>0.0397300648813785</v>
      </c>
      <c r="P212">
        <v>0.4</v>
      </c>
      <c r="Q212">
        <v>0</v>
      </c>
      <c r="R212">
        <f t="shared" si="16"/>
        <v>333.15</v>
      </c>
      <c r="U212">
        <v>0.001987</v>
      </c>
      <c r="V212">
        <f t="shared" si="17"/>
        <v>1.03</v>
      </c>
      <c r="W212">
        <f t="shared" si="18"/>
        <v>0.97</v>
      </c>
      <c r="X212">
        <f t="shared" si="19"/>
        <v>0.941747572815534</v>
      </c>
      <c r="Y212">
        <v>273.15</v>
      </c>
    </row>
    <row r="213" spans="1:25">
      <c r="A213" t="s">
        <v>313</v>
      </c>
      <c r="B213" t="s">
        <v>309</v>
      </c>
      <c r="C213" t="s">
        <v>24</v>
      </c>
      <c r="D213" t="s">
        <v>45</v>
      </c>
      <c r="E213" t="s">
        <v>46</v>
      </c>
      <c r="F213" t="s">
        <v>47</v>
      </c>
      <c r="G213" t="s">
        <v>310</v>
      </c>
      <c r="H213" t="s">
        <v>29</v>
      </c>
      <c r="I213" t="s">
        <v>48</v>
      </c>
      <c r="J213" t="s">
        <v>49</v>
      </c>
      <c r="L213">
        <v>60</v>
      </c>
      <c r="M213">
        <v>20</v>
      </c>
      <c r="N213">
        <v>0</v>
      </c>
      <c r="O213">
        <f t="shared" si="15"/>
        <v>0</v>
      </c>
      <c r="P213">
        <v>0.35</v>
      </c>
      <c r="Q213">
        <v>0</v>
      </c>
      <c r="R213">
        <f t="shared" si="16"/>
        <v>333.15</v>
      </c>
      <c r="U213">
        <v>0.001987</v>
      </c>
      <c r="V213">
        <f t="shared" si="17"/>
        <v>1</v>
      </c>
      <c r="W213">
        <f t="shared" si="18"/>
        <v>1</v>
      </c>
      <c r="X213">
        <f t="shared" si="19"/>
        <v>1</v>
      </c>
      <c r="Y213">
        <v>273.15</v>
      </c>
    </row>
    <row r="214" spans="1:25">
      <c r="A214" t="s">
        <v>314</v>
      </c>
      <c r="B214" t="s">
        <v>309</v>
      </c>
      <c r="C214" t="s">
        <v>278</v>
      </c>
      <c r="D214" t="s">
        <v>25</v>
      </c>
      <c r="E214" t="s">
        <v>26</v>
      </c>
      <c r="F214" t="s">
        <v>27</v>
      </c>
      <c r="G214" t="s">
        <v>310</v>
      </c>
      <c r="H214" t="s">
        <v>280</v>
      </c>
      <c r="I214" t="s">
        <v>30</v>
      </c>
      <c r="J214" t="s">
        <v>31</v>
      </c>
      <c r="L214">
        <v>60</v>
      </c>
      <c r="M214">
        <v>20</v>
      </c>
      <c r="N214">
        <v>-0.05</v>
      </c>
      <c r="O214">
        <f t="shared" si="15"/>
        <v>0.0662521519816802</v>
      </c>
      <c r="P214">
        <v>1</v>
      </c>
      <c r="Q214">
        <v>0</v>
      </c>
      <c r="R214">
        <f t="shared" si="16"/>
        <v>333.15</v>
      </c>
      <c r="U214">
        <v>0.001987</v>
      </c>
      <c r="V214">
        <f t="shared" si="17"/>
        <v>1.05</v>
      </c>
      <c r="W214">
        <f t="shared" si="18"/>
        <v>0.95</v>
      </c>
      <c r="X214">
        <f t="shared" si="19"/>
        <v>0.904761904761905</v>
      </c>
      <c r="Y214">
        <v>273.15</v>
      </c>
    </row>
    <row r="215" spans="1:25">
      <c r="A215" t="s">
        <v>315</v>
      </c>
      <c r="B215" t="s">
        <v>309</v>
      </c>
      <c r="C215" t="s">
        <v>278</v>
      </c>
      <c r="D215" t="s">
        <v>33</v>
      </c>
      <c r="E215" t="s">
        <v>34</v>
      </c>
      <c r="F215" t="s">
        <v>35</v>
      </c>
      <c r="G215" t="s">
        <v>310</v>
      </c>
      <c r="H215" t="s">
        <v>280</v>
      </c>
      <c r="I215" t="s">
        <v>36</v>
      </c>
      <c r="J215" t="s">
        <v>37</v>
      </c>
      <c r="L215">
        <v>60</v>
      </c>
      <c r="M215">
        <v>20</v>
      </c>
      <c r="N215">
        <v>-0.02</v>
      </c>
      <c r="O215">
        <f t="shared" si="15"/>
        <v>0.0264822933491626</v>
      </c>
      <c r="P215">
        <v>1</v>
      </c>
      <c r="Q215">
        <v>0</v>
      </c>
      <c r="R215">
        <f t="shared" si="16"/>
        <v>333.15</v>
      </c>
      <c r="U215">
        <v>0.001987</v>
      </c>
      <c r="V215">
        <f t="shared" si="17"/>
        <v>1.02</v>
      </c>
      <c r="W215">
        <f t="shared" si="18"/>
        <v>0.98</v>
      </c>
      <c r="X215">
        <f t="shared" si="19"/>
        <v>0.96078431372549</v>
      </c>
      <c r="Y215">
        <v>273.15</v>
      </c>
    </row>
    <row r="216" spans="1:25">
      <c r="A216" t="s">
        <v>316</v>
      </c>
      <c r="B216" t="s">
        <v>309</v>
      </c>
      <c r="C216" t="s">
        <v>278</v>
      </c>
      <c r="D216" t="s">
        <v>39</v>
      </c>
      <c r="E216" t="s">
        <v>40</v>
      </c>
      <c r="F216" t="s">
        <v>41</v>
      </c>
      <c r="G216" t="s">
        <v>310</v>
      </c>
      <c r="H216" t="s">
        <v>280</v>
      </c>
      <c r="I216" t="s">
        <v>42</v>
      </c>
      <c r="J216" t="s">
        <v>43</v>
      </c>
      <c r="L216">
        <v>60</v>
      </c>
      <c r="M216">
        <v>20</v>
      </c>
      <c r="N216">
        <v>-0.03</v>
      </c>
      <c r="O216">
        <f t="shared" si="15"/>
        <v>0.0397300648813785</v>
      </c>
      <c r="P216">
        <v>1</v>
      </c>
      <c r="Q216">
        <v>0</v>
      </c>
      <c r="R216">
        <f t="shared" si="16"/>
        <v>333.15</v>
      </c>
      <c r="U216">
        <v>0.001987</v>
      </c>
      <c r="V216">
        <f t="shared" si="17"/>
        <v>1.03</v>
      </c>
      <c r="W216">
        <f t="shared" si="18"/>
        <v>0.97</v>
      </c>
      <c r="X216">
        <f t="shared" si="19"/>
        <v>0.941747572815534</v>
      </c>
      <c r="Y216">
        <v>273.15</v>
      </c>
    </row>
    <row r="217" spans="1:25">
      <c r="A217" t="s">
        <v>317</v>
      </c>
      <c r="B217" t="s">
        <v>309</v>
      </c>
      <c r="C217" t="s">
        <v>278</v>
      </c>
      <c r="D217" t="s">
        <v>45</v>
      </c>
      <c r="E217" t="s">
        <v>46</v>
      </c>
      <c r="F217" t="s">
        <v>47</v>
      </c>
      <c r="G217" t="s">
        <v>310</v>
      </c>
      <c r="H217" t="s">
        <v>280</v>
      </c>
      <c r="I217" t="s">
        <v>48</v>
      </c>
      <c r="J217" t="s">
        <v>49</v>
      </c>
      <c r="L217">
        <v>60</v>
      </c>
      <c r="M217">
        <v>20</v>
      </c>
      <c r="N217">
        <v>-0.04</v>
      </c>
      <c r="O217">
        <f t="shared" si="15"/>
        <v>0.0529857951580787</v>
      </c>
      <c r="P217">
        <v>1</v>
      </c>
      <c r="Q217">
        <v>0</v>
      </c>
      <c r="R217">
        <f t="shared" si="16"/>
        <v>333.15</v>
      </c>
      <c r="U217">
        <v>0.001987</v>
      </c>
      <c r="V217">
        <f t="shared" si="17"/>
        <v>1.04</v>
      </c>
      <c r="W217">
        <f t="shared" si="18"/>
        <v>0.96</v>
      </c>
      <c r="X217">
        <f t="shared" si="19"/>
        <v>0.923076923076923</v>
      </c>
      <c r="Y217">
        <v>273.15</v>
      </c>
    </row>
    <row r="218" spans="1:25">
      <c r="A218" t="s">
        <v>318</v>
      </c>
      <c r="B218" t="s">
        <v>319</v>
      </c>
      <c r="C218" t="s">
        <v>278</v>
      </c>
      <c r="D218" t="s">
        <v>25</v>
      </c>
      <c r="E218" t="s">
        <v>26</v>
      </c>
      <c r="F218" t="s">
        <v>27</v>
      </c>
      <c r="G218" t="s">
        <v>320</v>
      </c>
      <c r="H218" t="s">
        <v>280</v>
      </c>
      <c r="I218" t="s">
        <v>30</v>
      </c>
      <c r="J218" t="s">
        <v>31</v>
      </c>
      <c r="L218">
        <v>60</v>
      </c>
      <c r="M218">
        <v>20</v>
      </c>
      <c r="N218">
        <v>0.15</v>
      </c>
      <c r="O218">
        <f t="shared" si="15"/>
        <v>-0.200100581586898</v>
      </c>
      <c r="P218">
        <v>1</v>
      </c>
      <c r="Q218">
        <v>0</v>
      </c>
      <c r="R218">
        <f t="shared" si="16"/>
        <v>333.15</v>
      </c>
      <c r="U218">
        <v>0.001987</v>
      </c>
      <c r="V218">
        <f t="shared" si="17"/>
        <v>0.85</v>
      </c>
      <c r="W218">
        <f t="shared" si="18"/>
        <v>1.15</v>
      </c>
      <c r="X218">
        <f t="shared" si="19"/>
        <v>1.35294117647059</v>
      </c>
      <c r="Y218">
        <v>273.15</v>
      </c>
    </row>
    <row r="219" spans="1:25">
      <c r="A219" t="s">
        <v>321</v>
      </c>
      <c r="B219" t="s">
        <v>319</v>
      </c>
      <c r="C219" t="s">
        <v>278</v>
      </c>
      <c r="D219" t="s">
        <v>33</v>
      </c>
      <c r="E219" t="s">
        <v>34</v>
      </c>
      <c r="F219" t="s">
        <v>35</v>
      </c>
      <c r="G219" t="s">
        <v>320</v>
      </c>
      <c r="H219" t="s">
        <v>280</v>
      </c>
      <c r="I219" t="s">
        <v>36</v>
      </c>
      <c r="J219" t="s">
        <v>37</v>
      </c>
      <c r="L219">
        <v>60</v>
      </c>
      <c r="M219">
        <v>20</v>
      </c>
      <c r="N219">
        <v>-0.02</v>
      </c>
      <c r="O219">
        <f t="shared" si="15"/>
        <v>0.0264822933491626</v>
      </c>
      <c r="P219">
        <v>1</v>
      </c>
      <c r="Q219">
        <v>0</v>
      </c>
      <c r="R219">
        <f t="shared" si="16"/>
        <v>333.15</v>
      </c>
      <c r="U219">
        <v>0.001987</v>
      </c>
      <c r="V219">
        <f t="shared" si="17"/>
        <v>1.02</v>
      </c>
      <c r="W219">
        <f t="shared" si="18"/>
        <v>0.98</v>
      </c>
      <c r="X219">
        <f t="shared" si="19"/>
        <v>0.96078431372549</v>
      </c>
      <c r="Y219">
        <v>273.15</v>
      </c>
    </row>
    <row r="220" spans="1:25">
      <c r="A220" t="s">
        <v>322</v>
      </c>
      <c r="B220" t="s">
        <v>319</v>
      </c>
      <c r="C220" t="s">
        <v>278</v>
      </c>
      <c r="D220" t="s">
        <v>39</v>
      </c>
      <c r="E220" t="s">
        <v>40</v>
      </c>
      <c r="F220" t="s">
        <v>41</v>
      </c>
      <c r="G220" t="s">
        <v>320</v>
      </c>
      <c r="H220" t="s">
        <v>280</v>
      </c>
      <c r="I220" t="s">
        <v>42</v>
      </c>
      <c r="J220" t="s">
        <v>43</v>
      </c>
      <c r="L220">
        <v>60</v>
      </c>
      <c r="M220">
        <v>20</v>
      </c>
      <c r="N220">
        <v>-0.16</v>
      </c>
      <c r="O220">
        <f t="shared" si="15"/>
        <v>0.213665995841649</v>
      </c>
      <c r="P220">
        <v>1</v>
      </c>
      <c r="Q220">
        <v>0</v>
      </c>
      <c r="R220">
        <f t="shared" si="16"/>
        <v>333.15</v>
      </c>
      <c r="U220">
        <v>0.001987</v>
      </c>
      <c r="V220">
        <f t="shared" si="17"/>
        <v>1.16</v>
      </c>
      <c r="W220">
        <f t="shared" si="18"/>
        <v>0.84</v>
      </c>
      <c r="X220">
        <f t="shared" si="19"/>
        <v>0.724137931034483</v>
      </c>
      <c r="Y220">
        <v>273.15</v>
      </c>
    </row>
    <row r="221" spans="1:25">
      <c r="A221" t="s">
        <v>323</v>
      </c>
      <c r="B221" t="s">
        <v>319</v>
      </c>
      <c r="C221" t="s">
        <v>278</v>
      </c>
      <c r="D221" t="s">
        <v>45</v>
      </c>
      <c r="E221" t="s">
        <v>46</v>
      </c>
      <c r="F221" t="s">
        <v>47</v>
      </c>
      <c r="G221" t="s">
        <v>320</v>
      </c>
      <c r="H221" t="s">
        <v>280</v>
      </c>
      <c r="I221" t="s">
        <v>48</v>
      </c>
      <c r="J221" t="s">
        <v>49</v>
      </c>
      <c r="L221">
        <v>60</v>
      </c>
      <c r="M221">
        <v>20</v>
      </c>
      <c r="N221">
        <v>-0.17</v>
      </c>
      <c r="O221">
        <f t="shared" si="15"/>
        <v>0.227276036308296</v>
      </c>
      <c r="P221">
        <v>1</v>
      </c>
      <c r="Q221">
        <v>0</v>
      </c>
      <c r="R221">
        <f t="shared" si="16"/>
        <v>333.15</v>
      </c>
      <c r="U221">
        <v>0.001987</v>
      </c>
      <c r="V221">
        <f t="shared" si="17"/>
        <v>1.17</v>
      </c>
      <c r="W221">
        <f t="shared" si="18"/>
        <v>0.83</v>
      </c>
      <c r="X221">
        <f t="shared" si="19"/>
        <v>0.709401709401709</v>
      </c>
      <c r="Y221">
        <v>273.15</v>
      </c>
    </row>
    <row r="222" spans="1:25">
      <c r="A222" t="s">
        <v>324</v>
      </c>
      <c r="B222" t="s">
        <v>325</v>
      </c>
      <c r="C222" t="s">
        <v>24</v>
      </c>
      <c r="D222" t="s">
        <v>25</v>
      </c>
      <c r="E222" t="s">
        <v>26</v>
      </c>
      <c r="F222" t="s">
        <v>27</v>
      </c>
      <c r="G222" t="s">
        <v>326</v>
      </c>
      <c r="H222" t="s">
        <v>29</v>
      </c>
      <c r="I222" t="s">
        <v>30</v>
      </c>
      <c r="J222" t="s">
        <v>31</v>
      </c>
      <c r="L222">
        <v>60</v>
      </c>
      <c r="M222">
        <v>20</v>
      </c>
      <c r="N222">
        <v>-0.06</v>
      </c>
      <c r="O222">
        <f t="shared" si="15"/>
        <v>0.0795318159729944</v>
      </c>
      <c r="P222">
        <v>1</v>
      </c>
      <c r="Q222">
        <v>0</v>
      </c>
      <c r="R222">
        <f t="shared" si="16"/>
        <v>333.15</v>
      </c>
      <c r="U222">
        <v>0.001987</v>
      </c>
      <c r="V222">
        <f t="shared" si="17"/>
        <v>1.06</v>
      </c>
      <c r="W222">
        <f t="shared" si="18"/>
        <v>0.94</v>
      </c>
      <c r="X222">
        <f t="shared" si="19"/>
        <v>0.886792452830189</v>
      </c>
      <c r="Y222">
        <v>273.15</v>
      </c>
    </row>
    <row r="223" spans="1:25">
      <c r="A223" t="s">
        <v>327</v>
      </c>
      <c r="B223" t="s">
        <v>325</v>
      </c>
      <c r="C223" t="s">
        <v>24</v>
      </c>
      <c r="D223" t="s">
        <v>33</v>
      </c>
      <c r="E223" t="s">
        <v>34</v>
      </c>
      <c r="F223" t="s">
        <v>35</v>
      </c>
      <c r="G223" t="s">
        <v>326</v>
      </c>
      <c r="H223" t="s">
        <v>29</v>
      </c>
      <c r="I223" t="s">
        <v>36</v>
      </c>
      <c r="J223" t="s">
        <v>37</v>
      </c>
      <c r="L223">
        <v>60</v>
      </c>
      <c r="M223">
        <v>20</v>
      </c>
      <c r="N223">
        <v>-0.05</v>
      </c>
      <c r="O223">
        <f t="shared" si="15"/>
        <v>0.0662521519816802</v>
      </c>
      <c r="P223">
        <v>1</v>
      </c>
      <c r="Q223">
        <v>0</v>
      </c>
      <c r="R223">
        <f t="shared" si="16"/>
        <v>333.15</v>
      </c>
      <c r="U223">
        <v>0.001987</v>
      </c>
      <c r="V223">
        <f t="shared" si="17"/>
        <v>1.05</v>
      </c>
      <c r="W223">
        <f t="shared" si="18"/>
        <v>0.95</v>
      </c>
      <c r="X223">
        <f t="shared" si="19"/>
        <v>0.904761904761905</v>
      </c>
      <c r="Y223">
        <v>273.15</v>
      </c>
    </row>
    <row r="224" spans="1:25">
      <c r="A224" t="s">
        <v>328</v>
      </c>
      <c r="B224" t="s">
        <v>325</v>
      </c>
      <c r="C224" t="s">
        <v>24</v>
      </c>
      <c r="D224" t="s">
        <v>39</v>
      </c>
      <c r="E224" t="s">
        <v>40</v>
      </c>
      <c r="F224" t="s">
        <v>41</v>
      </c>
      <c r="G224" t="s">
        <v>326</v>
      </c>
      <c r="H224" t="s">
        <v>29</v>
      </c>
      <c r="I224" t="s">
        <v>42</v>
      </c>
      <c r="J224" t="s">
        <v>43</v>
      </c>
      <c r="L224">
        <v>60</v>
      </c>
      <c r="M224">
        <v>20</v>
      </c>
      <c r="N224">
        <v>-0.09</v>
      </c>
      <c r="O224">
        <f t="shared" si="15"/>
        <v>0.11947771860631</v>
      </c>
      <c r="P224">
        <v>1</v>
      </c>
      <c r="Q224">
        <v>0</v>
      </c>
      <c r="R224">
        <f t="shared" si="16"/>
        <v>333.15</v>
      </c>
      <c r="U224">
        <v>0.001987</v>
      </c>
      <c r="V224">
        <f t="shared" si="17"/>
        <v>1.09</v>
      </c>
      <c r="W224">
        <f t="shared" si="18"/>
        <v>0.91</v>
      </c>
      <c r="X224">
        <f t="shared" si="19"/>
        <v>0.834862385321101</v>
      </c>
      <c r="Y224">
        <v>273.15</v>
      </c>
    </row>
    <row r="225" spans="1:25">
      <c r="A225" t="s">
        <v>329</v>
      </c>
      <c r="B225" t="s">
        <v>325</v>
      </c>
      <c r="C225" t="s">
        <v>24</v>
      </c>
      <c r="D225" t="s">
        <v>45</v>
      </c>
      <c r="E225" t="s">
        <v>46</v>
      </c>
      <c r="F225" t="s">
        <v>47</v>
      </c>
      <c r="G225" t="s">
        <v>326</v>
      </c>
      <c r="H225" t="s">
        <v>29</v>
      </c>
      <c r="I225" t="s">
        <v>48</v>
      </c>
      <c r="J225" t="s">
        <v>49</v>
      </c>
      <c r="L225">
        <v>60</v>
      </c>
      <c r="M225">
        <v>20</v>
      </c>
      <c r="N225">
        <v>-0.09</v>
      </c>
      <c r="O225">
        <f t="shared" si="15"/>
        <v>0.11947771860631</v>
      </c>
      <c r="P225">
        <v>1</v>
      </c>
      <c r="Q225">
        <v>0</v>
      </c>
      <c r="R225">
        <f t="shared" si="16"/>
        <v>333.15</v>
      </c>
      <c r="U225">
        <v>0.001987</v>
      </c>
      <c r="V225">
        <f t="shared" si="17"/>
        <v>1.09</v>
      </c>
      <c r="W225">
        <f t="shared" si="18"/>
        <v>0.91</v>
      </c>
      <c r="X225">
        <f t="shared" si="19"/>
        <v>0.834862385321101</v>
      </c>
      <c r="Y225">
        <v>273.15</v>
      </c>
    </row>
    <row r="226" spans="1:25">
      <c r="A226" t="s">
        <v>330</v>
      </c>
      <c r="B226" t="s">
        <v>325</v>
      </c>
      <c r="C226" t="s">
        <v>278</v>
      </c>
      <c r="D226" t="s">
        <v>25</v>
      </c>
      <c r="E226" t="s">
        <v>26</v>
      </c>
      <c r="F226" t="s">
        <v>27</v>
      </c>
      <c r="G226" t="s">
        <v>326</v>
      </c>
      <c r="H226" t="s">
        <v>280</v>
      </c>
      <c r="I226" t="s">
        <v>30</v>
      </c>
      <c r="J226" t="s">
        <v>31</v>
      </c>
      <c r="L226">
        <v>60</v>
      </c>
      <c r="M226">
        <v>20</v>
      </c>
      <c r="N226">
        <v>0.11</v>
      </c>
      <c r="O226">
        <f t="shared" si="15"/>
        <v>-0.146224879842001</v>
      </c>
      <c r="P226">
        <v>1</v>
      </c>
      <c r="Q226">
        <v>0</v>
      </c>
      <c r="R226">
        <f t="shared" si="16"/>
        <v>333.15</v>
      </c>
      <c r="U226">
        <v>0.001987</v>
      </c>
      <c r="V226">
        <f t="shared" si="17"/>
        <v>0.89</v>
      </c>
      <c r="W226">
        <f t="shared" si="18"/>
        <v>1.11</v>
      </c>
      <c r="X226">
        <f t="shared" si="19"/>
        <v>1.24719101123596</v>
      </c>
      <c r="Y226">
        <v>273.15</v>
      </c>
    </row>
    <row r="227" spans="1:25">
      <c r="A227" t="s">
        <v>331</v>
      </c>
      <c r="B227" t="s">
        <v>325</v>
      </c>
      <c r="C227" t="s">
        <v>278</v>
      </c>
      <c r="D227" t="s">
        <v>33</v>
      </c>
      <c r="E227" t="s">
        <v>34</v>
      </c>
      <c r="F227" t="s">
        <v>35</v>
      </c>
      <c r="G227" t="s">
        <v>326</v>
      </c>
      <c r="H227" t="s">
        <v>280</v>
      </c>
      <c r="I227" t="s">
        <v>36</v>
      </c>
      <c r="J227" t="s">
        <v>37</v>
      </c>
      <c r="L227">
        <v>60</v>
      </c>
      <c r="M227">
        <v>20</v>
      </c>
      <c r="N227">
        <v>-0.02</v>
      </c>
      <c r="O227">
        <f t="shared" si="15"/>
        <v>0.0264822933491626</v>
      </c>
      <c r="P227">
        <v>1</v>
      </c>
      <c r="Q227">
        <v>0</v>
      </c>
      <c r="R227">
        <f t="shared" si="16"/>
        <v>333.15</v>
      </c>
      <c r="U227">
        <v>0.001987</v>
      </c>
      <c r="V227">
        <f t="shared" si="17"/>
        <v>1.02</v>
      </c>
      <c r="W227">
        <f t="shared" si="18"/>
        <v>0.98</v>
      </c>
      <c r="X227">
        <f t="shared" si="19"/>
        <v>0.96078431372549</v>
      </c>
      <c r="Y227">
        <v>273.15</v>
      </c>
    </row>
    <row r="228" spans="1:25">
      <c r="A228" t="s">
        <v>332</v>
      </c>
      <c r="B228" t="s">
        <v>325</v>
      </c>
      <c r="C228" t="s">
        <v>278</v>
      </c>
      <c r="D228" t="s">
        <v>39</v>
      </c>
      <c r="E228" t="s">
        <v>40</v>
      </c>
      <c r="F228" t="s">
        <v>41</v>
      </c>
      <c r="G228" t="s">
        <v>326</v>
      </c>
      <c r="H228" t="s">
        <v>280</v>
      </c>
      <c r="I228" t="s">
        <v>42</v>
      </c>
      <c r="J228" t="s">
        <v>43</v>
      </c>
      <c r="L228">
        <v>60</v>
      </c>
      <c r="M228">
        <v>20</v>
      </c>
      <c r="N228">
        <v>0.32</v>
      </c>
      <c r="O228">
        <f t="shared" si="15"/>
        <v>-0.439080242969566</v>
      </c>
      <c r="P228">
        <v>1</v>
      </c>
      <c r="Q228">
        <v>0</v>
      </c>
      <c r="R228">
        <f t="shared" si="16"/>
        <v>333.15</v>
      </c>
      <c r="U228">
        <v>0.001987</v>
      </c>
      <c r="V228">
        <f t="shared" si="17"/>
        <v>0.68</v>
      </c>
      <c r="W228">
        <f t="shared" si="18"/>
        <v>1.32</v>
      </c>
      <c r="X228">
        <f t="shared" si="19"/>
        <v>1.94117647058824</v>
      </c>
      <c r="Y228">
        <v>273.15</v>
      </c>
    </row>
    <row r="229" spans="1:25">
      <c r="A229" t="s">
        <v>333</v>
      </c>
      <c r="B229" t="s">
        <v>325</v>
      </c>
      <c r="C229" t="s">
        <v>278</v>
      </c>
      <c r="D229" t="s">
        <v>45</v>
      </c>
      <c r="E229" t="s">
        <v>46</v>
      </c>
      <c r="F229" t="s">
        <v>47</v>
      </c>
      <c r="G229" t="s">
        <v>326</v>
      </c>
      <c r="H229" t="s">
        <v>280</v>
      </c>
      <c r="I229" t="s">
        <v>48</v>
      </c>
      <c r="J229" t="s">
        <v>49</v>
      </c>
      <c r="L229">
        <v>60</v>
      </c>
      <c r="M229">
        <v>20</v>
      </c>
      <c r="N229">
        <v>0.32</v>
      </c>
      <c r="O229">
        <f t="shared" si="15"/>
        <v>-0.439080242969566</v>
      </c>
      <c r="P229">
        <v>1</v>
      </c>
      <c r="Q229">
        <v>0</v>
      </c>
      <c r="R229">
        <f t="shared" si="16"/>
        <v>333.15</v>
      </c>
      <c r="U229">
        <v>0.001987</v>
      </c>
      <c r="V229">
        <f t="shared" si="17"/>
        <v>0.68</v>
      </c>
      <c r="W229">
        <f t="shared" si="18"/>
        <v>1.32</v>
      </c>
      <c r="X229">
        <f t="shared" si="19"/>
        <v>1.94117647058824</v>
      </c>
      <c r="Y229">
        <v>273.15</v>
      </c>
    </row>
    <row r="230" spans="1:25">
      <c r="A230" t="s">
        <v>334</v>
      </c>
      <c r="B230" t="s">
        <v>335</v>
      </c>
      <c r="C230" t="s">
        <v>24</v>
      </c>
      <c r="D230" t="s">
        <v>25</v>
      </c>
      <c r="E230" t="s">
        <v>26</v>
      </c>
      <c r="F230" t="s">
        <v>27</v>
      </c>
      <c r="G230" t="s">
        <v>336</v>
      </c>
      <c r="H230" t="s">
        <v>29</v>
      </c>
      <c r="I230" t="s">
        <v>30</v>
      </c>
      <c r="J230" t="s">
        <v>31</v>
      </c>
      <c r="L230">
        <v>60</v>
      </c>
      <c r="M230">
        <v>20</v>
      </c>
      <c r="N230">
        <v>0.21</v>
      </c>
      <c r="O230">
        <f t="shared" si="15"/>
        <v>-0.282225667545522</v>
      </c>
      <c r="P230">
        <v>1</v>
      </c>
      <c r="Q230">
        <v>0</v>
      </c>
      <c r="R230">
        <f t="shared" si="16"/>
        <v>333.15</v>
      </c>
      <c r="U230">
        <v>0.001987</v>
      </c>
      <c r="V230">
        <f t="shared" si="17"/>
        <v>0.79</v>
      </c>
      <c r="W230">
        <f t="shared" si="18"/>
        <v>1.21</v>
      </c>
      <c r="X230">
        <f t="shared" si="19"/>
        <v>1.53164556962025</v>
      </c>
      <c r="Y230">
        <v>273.15</v>
      </c>
    </row>
    <row r="231" spans="1:25">
      <c r="A231" t="s">
        <v>337</v>
      </c>
      <c r="B231" t="s">
        <v>335</v>
      </c>
      <c r="C231" t="s">
        <v>24</v>
      </c>
      <c r="D231" t="s">
        <v>33</v>
      </c>
      <c r="E231" t="s">
        <v>34</v>
      </c>
      <c r="F231" t="s">
        <v>35</v>
      </c>
      <c r="G231" t="s">
        <v>336</v>
      </c>
      <c r="H231" t="s">
        <v>29</v>
      </c>
      <c r="I231" t="s">
        <v>36</v>
      </c>
      <c r="J231" t="s">
        <v>37</v>
      </c>
      <c r="L231">
        <v>60</v>
      </c>
      <c r="M231">
        <v>20</v>
      </c>
      <c r="N231">
        <v>-0.05</v>
      </c>
      <c r="O231">
        <f t="shared" si="15"/>
        <v>0.0662521519816802</v>
      </c>
      <c r="P231">
        <v>1</v>
      </c>
      <c r="Q231">
        <v>0</v>
      </c>
      <c r="R231">
        <f t="shared" si="16"/>
        <v>333.15</v>
      </c>
      <c r="U231">
        <v>0.001987</v>
      </c>
      <c r="V231">
        <f t="shared" si="17"/>
        <v>1.05</v>
      </c>
      <c r="W231">
        <f t="shared" si="18"/>
        <v>0.95</v>
      </c>
      <c r="X231">
        <f t="shared" si="19"/>
        <v>0.904761904761905</v>
      </c>
      <c r="Y231">
        <v>273.15</v>
      </c>
    </row>
    <row r="232" spans="1:25">
      <c r="A232" t="s">
        <v>338</v>
      </c>
      <c r="B232" t="s">
        <v>335</v>
      </c>
      <c r="C232" t="s">
        <v>24</v>
      </c>
      <c r="D232" t="s">
        <v>39</v>
      </c>
      <c r="E232" t="s">
        <v>40</v>
      </c>
      <c r="F232" t="s">
        <v>41</v>
      </c>
      <c r="G232" t="s">
        <v>336</v>
      </c>
      <c r="H232" t="s">
        <v>29</v>
      </c>
      <c r="I232" t="s">
        <v>42</v>
      </c>
      <c r="J232" t="s">
        <v>43</v>
      </c>
      <c r="L232">
        <v>60</v>
      </c>
      <c r="M232">
        <v>20</v>
      </c>
      <c r="N232">
        <v>0.68</v>
      </c>
      <c r="O232">
        <f t="shared" si="15"/>
        <v>-1.09769566455257</v>
      </c>
      <c r="P232">
        <v>1</v>
      </c>
      <c r="Q232">
        <v>0</v>
      </c>
      <c r="R232">
        <f t="shared" si="16"/>
        <v>333.15</v>
      </c>
      <c r="U232">
        <v>0.001987</v>
      </c>
      <c r="V232">
        <f t="shared" si="17"/>
        <v>0.32</v>
      </c>
      <c r="W232">
        <f t="shared" si="18"/>
        <v>1.68</v>
      </c>
      <c r="X232">
        <f t="shared" si="19"/>
        <v>5.25</v>
      </c>
      <c r="Y232">
        <v>273.15</v>
      </c>
    </row>
    <row r="233" spans="1:25">
      <c r="A233" t="s">
        <v>339</v>
      </c>
      <c r="B233" t="s">
        <v>335</v>
      </c>
      <c r="C233" t="s">
        <v>24</v>
      </c>
      <c r="D233" t="s">
        <v>45</v>
      </c>
      <c r="E233" t="s">
        <v>46</v>
      </c>
      <c r="F233" t="s">
        <v>47</v>
      </c>
      <c r="G233" t="s">
        <v>336</v>
      </c>
      <c r="H233" t="s">
        <v>29</v>
      </c>
      <c r="I233" t="s">
        <v>48</v>
      </c>
      <c r="J233" t="s">
        <v>49</v>
      </c>
      <c r="L233">
        <v>60</v>
      </c>
      <c r="M233">
        <v>20</v>
      </c>
      <c r="N233">
        <v>0.55</v>
      </c>
      <c r="O233">
        <f t="shared" si="15"/>
        <v>-0.818698581369279</v>
      </c>
      <c r="P233">
        <v>1</v>
      </c>
      <c r="Q233">
        <v>0</v>
      </c>
      <c r="R233">
        <f t="shared" si="16"/>
        <v>333.15</v>
      </c>
      <c r="U233">
        <v>0.001987</v>
      </c>
      <c r="V233">
        <f t="shared" si="17"/>
        <v>0.45</v>
      </c>
      <c r="W233">
        <f t="shared" si="18"/>
        <v>1.55</v>
      </c>
      <c r="X233">
        <f t="shared" si="19"/>
        <v>3.44444444444444</v>
      </c>
      <c r="Y233">
        <v>273.15</v>
      </c>
    </row>
    <row r="234" spans="1:25">
      <c r="A234" t="s">
        <v>340</v>
      </c>
      <c r="B234" t="s">
        <v>335</v>
      </c>
      <c r="C234" t="s">
        <v>278</v>
      </c>
      <c r="D234" t="s">
        <v>25</v>
      </c>
      <c r="E234" t="s">
        <v>26</v>
      </c>
      <c r="F234" t="s">
        <v>27</v>
      </c>
      <c r="G234" t="s">
        <v>336</v>
      </c>
      <c r="H234" t="s">
        <v>280</v>
      </c>
      <c r="I234" t="s">
        <v>30</v>
      </c>
      <c r="J234" t="s">
        <v>31</v>
      </c>
      <c r="L234">
        <v>60</v>
      </c>
      <c r="M234">
        <v>20</v>
      </c>
      <c r="N234">
        <v>0.39</v>
      </c>
      <c r="O234">
        <f t="shared" si="15"/>
        <v>-0.545197755227652</v>
      </c>
      <c r="P234">
        <v>1</v>
      </c>
      <c r="Q234">
        <v>0</v>
      </c>
      <c r="R234">
        <f t="shared" si="16"/>
        <v>333.15</v>
      </c>
      <c r="U234">
        <v>0.001987</v>
      </c>
      <c r="V234">
        <f t="shared" si="17"/>
        <v>0.61</v>
      </c>
      <c r="W234">
        <f t="shared" si="18"/>
        <v>1.39</v>
      </c>
      <c r="X234">
        <f t="shared" si="19"/>
        <v>2.27868852459016</v>
      </c>
      <c r="Y234">
        <v>273.15</v>
      </c>
    </row>
    <row r="235" spans="1:25">
      <c r="A235" t="s">
        <v>341</v>
      </c>
      <c r="B235" t="s">
        <v>335</v>
      </c>
      <c r="C235" t="s">
        <v>278</v>
      </c>
      <c r="D235" t="s">
        <v>33</v>
      </c>
      <c r="E235" t="s">
        <v>34</v>
      </c>
      <c r="F235" t="s">
        <v>35</v>
      </c>
      <c r="G235" t="s">
        <v>336</v>
      </c>
      <c r="H235" t="s">
        <v>280</v>
      </c>
      <c r="I235" t="s">
        <v>36</v>
      </c>
      <c r="J235" t="s">
        <v>37</v>
      </c>
      <c r="L235">
        <v>60</v>
      </c>
      <c r="M235">
        <v>20</v>
      </c>
      <c r="N235">
        <v>-0.11</v>
      </c>
      <c r="O235">
        <f t="shared" si="15"/>
        <v>0.146224879842001</v>
      </c>
      <c r="P235">
        <v>1</v>
      </c>
      <c r="Q235">
        <v>0</v>
      </c>
      <c r="R235">
        <f t="shared" si="16"/>
        <v>333.15</v>
      </c>
      <c r="U235">
        <v>0.001987</v>
      </c>
      <c r="V235">
        <f t="shared" si="17"/>
        <v>1.11</v>
      </c>
      <c r="W235">
        <f t="shared" si="18"/>
        <v>0.89</v>
      </c>
      <c r="X235">
        <f t="shared" si="19"/>
        <v>0.801801801801802</v>
      </c>
      <c r="Y235">
        <v>273.15</v>
      </c>
    </row>
    <row r="236" spans="1:25">
      <c r="A236" t="s">
        <v>342</v>
      </c>
      <c r="B236" t="s">
        <v>335</v>
      </c>
      <c r="C236" t="s">
        <v>278</v>
      </c>
      <c r="D236" t="s">
        <v>39</v>
      </c>
      <c r="E236" t="s">
        <v>40</v>
      </c>
      <c r="F236" t="s">
        <v>41</v>
      </c>
      <c r="G236" t="s">
        <v>336</v>
      </c>
      <c r="H236" t="s">
        <v>280</v>
      </c>
      <c r="I236" t="s">
        <v>42</v>
      </c>
      <c r="J236" t="s">
        <v>43</v>
      </c>
      <c r="L236">
        <v>60</v>
      </c>
      <c r="M236">
        <v>20</v>
      </c>
      <c r="N236">
        <v>0.74</v>
      </c>
      <c r="O236">
        <f t="shared" si="15"/>
        <v>-1.25837586523614</v>
      </c>
      <c r="P236">
        <v>1</v>
      </c>
      <c r="Q236">
        <v>0</v>
      </c>
      <c r="R236">
        <f t="shared" si="16"/>
        <v>333.15</v>
      </c>
      <c r="U236">
        <v>0.001987</v>
      </c>
      <c r="V236">
        <f t="shared" si="17"/>
        <v>0.26</v>
      </c>
      <c r="W236">
        <f t="shared" si="18"/>
        <v>1.74</v>
      </c>
      <c r="X236">
        <f t="shared" si="19"/>
        <v>6.69230769230769</v>
      </c>
      <c r="Y236">
        <v>273.15</v>
      </c>
    </row>
    <row r="237" spans="1:25">
      <c r="A237" t="s">
        <v>343</v>
      </c>
      <c r="B237" t="s">
        <v>335</v>
      </c>
      <c r="C237" t="s">
        <v>278</v>
      </c>
      <c r="D237" t="s">
        <v>45</v>
      </c>
      <c r="E237" t="s">
        <v>46</v>
      </c>
      <c r="F237" t="s">
        <v>47</v>
      </c>
      <c r="G237" t="s">
        <v>336</v>
      </c>
      <c r="H237" t="s">
        <v>280</v>
      </c>
      <c r="I237" t="s">
        <v>48</v>
      </c>
      <c r="J237" t="s">
        <v>49</v>
      </c>
      <c r="L237">
        <v>60</v>
      </c>
      <c r="M237">
        <v>20</v>
      </c>
      <c r="N237">
        <v>0.54</v>
      </c>
      <c r="O237">
        <f t="shared" si="15"/>
        <v>-0.799864621090218</v>
      </c>
      <c r="P237">
        <v>1</v>
      </c>
      <c r="Q237">
        <v>0</v>
      </c>
      <c r="R237">
        <f t="shared" si="16"/>
        <v>333.15</v>
      </c>
      <c r="U237">
        <v>0.001987</v>
      </c>
      <c r="V237">
        <f t="shared" si="17"/>
        <v>0.46</v>
      </c>
      <c r="W237">
        <f t="shared" si="18"/>
        <v>1.54</v>
      </c>
      <c r="X237">
        <f t="shared" si="19"/>
        <v>3.34782608695652</v>
      </c>
      <c r="Y237">
        <v>273.15</v>
      </c>
    </row>
    <row r="238" spans="1:25">
      <c r="A238" t="s">
        <v>344</v>
      </c>
      <c r="B238" t="s">
        <v>345</v>
      </c>
      <c r="C238" t="s">
        <v>278</v>
      </c>
      <c r="D238" t="s">
        <v>25</v>
      </c>
      <c r="E238" t="s">
        <v>26</v>
      </c>
      <c r="F238" t="s">
        <v>27</v>
      </c>
      <c r="G238" t="s">
        <v>346</v>
      </c>
      <c r="H238" t="s">
        <v>280</v>
      </c>
      <c r="I238" t="s">
        <v>30</v>
      </c>
      <c r="J238" t="s">
        <v>31</v>
      </c>
      <c r="L238">
        <v>60</v>
      </c>
      <c r="M238">
        <v>20</v>
      </c>
      <c r="N238">
        <v>-0.02</v>
      </c>
      <c r="O238">
        <f t="shared" si="15"/>
        <v>0.0264822933491626</v>
      </c>
      <c r="P238">
        <v>1</v>
      </c>
      <c r="Q238">
        <v>0</v>
      </c>
      <c r="R238">
        <f t="shared" si="16"/>
        <v>333.15</v>
      </c>
      <c r="U238">
        <v>0.001987</v>
      </c>
      <c r="V238">
        <f t="shared" si="17"/>
        <v>1.02</v>
      </c>
      <c r="W238">
        <f t="shared" si="18"/>
        <v>0.98</v>
      </c>
      <c r="X238">
        <f t="shared" si="19"/>
        <v>0.96078431372549</v>
      </c>
      <c r="Y238">
        <v>273.15</v>
      </c>
    </row>
    <row r="239" spans="1:25">
      <c r="A239" t="s">
        <v>347</v>
      </c>
      <c r="B239" t="s">
        <v>345</v>
      </c>
      <c r="C239" t="s">
        <v>278</v>
      </c>
      <c r="D239" t="s">
        <v>33</v>
      </c>
      <c r="E239" t="s">
        <v>34</v>
      </c>
      <c r="F239" t="s">
        <v>35</v>
      </c>
      <c r="G239" t="s">
        <v>346</v>
      </c>
      <c r="H239" t="s">
        <v>280</v>
      </c>
      <c r="I239" t="s">
        <v>36</v>
      </c>
      <c r="J239" t="s">
        <v>37</v>
      </c>
      <c r="L239">
        <v>60</v>
      </c>
      <c r="M239">
        <v>20</v>
      </c>
      <c r="N239">
        <v>-0.02</v>
      </c>
      <c r="O239">
        <f t="shared" si="15"/>
        <v>0.0264822933491626</v>
      </c>
      <c r="P239">
        <v>1</v>
      </c>
      <c r="Q239">
        <v>0</v>
      </c>
      <c r="R239">
        <f t="shared" si="16"/>
        <v>333.15</v>
      </c>
      <c r="U239">
        <v>0.001987</v>
      </c>
      <c r="V239">
        <f t="shared" si="17"/>
        <v>1.02</v>
      </c>
      <c r="W239">
        <f t="shared" si="18"/>
        <v>0.98</v>
      </c>
      <c r="X239">
        <f t="shared" si="19"/>
        <v>0.96078431372549</v>
      </c>
      <c r="Y239">
        <v>273.15</v>
      </c>
    </row>
    <row r="240" spans="1:25">
      <c r="A240" t="s">
        <v>348</v>
      </c>
      <c r="B240" t="s">
        <v>345</v>
      </c>
      <c r="C240" t="s">
        <v>278</v>
      </c>
      <c r="D240" t="s">
        <v>39</v>
      </c>
      <c r="E240" t="s">
        <v>40</v>
      </c>
      <c r="F240" t="s">
        <v>41</v>
      </c>
      <c r="G240" t="s">
        <v>346</v>
      </c>
      <c r="H240" t="s">
        <v>280</v>
      </c>
      <c r="I240" t="s">
        <v>42</v>
      </c>
      <c r="J240" t="s">
        <v>43</v>
      </c>
      <c r="L240">
        <v>60</v>
      </c>
      <c r="M240">
        <v>20</v>
      </c>
      <c r="N240">
        <v>0.14</v>
      </c>
      <c r="O240">
        <f t="shared" si="15"/>
        <v>-0.186576739424175</v>
      </c>
      <c r="P240">
        <v>1</v>
      </c>
      <c r="Q240">
        <v>0</v>
      </c>
      <c r="R240">
        <f t="shared" si="16"/>
        <v>333.15</v>
      </c>
      <c r="U240">
        <v>0.001987</v>
      </c>
      <c r="V240">
        <f t="shared" si="17"/>
        <v>0.86</v>
      </c>
      <c r="W240">
        <f t="shared" si="18"/>
        <v>1.14</v>
      </c>
      <c r="X240">
        <f t="shared" si="19"/>
        <v>1.32558139534884</v>
      </c>
      <c r="Y240">
        <v>273.15</v>
      </c>
    </row>
    <row r="241" spans="1:25">
      <c r="A241" t="s">
        <v>349</v>
      </c>
      <c r="B241" t="s">
        <v>345</v>
      </c>
      <c r="C241" t="s">
        <v>278</v>
      </c>
      <c r="D241" t="s">
        <v>45</v>
      </c>
      <c r="E241" t="s">
        <v>46</v>
      </c>
      <c r="F241" t="s">
        <v>47</v>
      </c>
      <c r="G241" t="s">
        <v>346</v>
      </c>
      <c r="H241" t="s">
        <v>280</v>
      </c>
      <c r="I241" t="s">
        <v>48</v>
      </c>
      <c r="J241" t="s">
        <v>49</v>
      </c>
      <c r="L241">
        <v>60</v>
      </c>
      <c r="M241">
        <v>20</v>
      </c>
      <c r="N241">
        <v>0.07</v>
      </c>
      <c r="O241">
        <f t="shared" si="15"/>
        <v>-0.092827483848213</v>
      </c>
      <c r="P241">
        <v>1</v>
      </c>
      <c r="Q241">
        <v>0</v>
      </c>
      <c r="R241">
        <f t="shared" si="16"/>
        <v>333.15</v>
      </c>
      <c r="U241">
        <v>0.001987</v>
      </c>
      <c r="V241">
        <f t="shared" si="17"/>
        <v>0.93</v>
      </c>
      <c r="W241">
        <f t="shared" si="18"/>
        <v>1.07</v>
      </c>
      <c r="X241">
        <f t="shared" si="19"/>
        <v>1.1505376344086</v>
      </c>
      <c r="Y241">
        <v>273.15</v>
      </c>
    </row>
    <row r="242" spans="1:25">
      <c r="A242" t="s">
        <v>350</v>
      </c>
      <c r="B242" t="s">
        <v>351</v>
      </c>
      <c r="C242" t="s">
        <v>352</v>
      </c>
      <c r="D242" t="s">
        <v>25</v>
      </c>
      <c r="E242" t="s">
        <v>26</v>
      </c>
      <c r="F242" t="s">
        <v>27</v>
      </c>
      <c r="G242" t="s">
        <v>353</v>
      </c>
      <c r="H242" t="s">
        <v>354</v>
      </c>
      <c r="I242" t="s">
        <v>30</v>
      </c>
      <c r="J242" t="s">
        <v>31</v>
      </c>
      <c r="L242">
        <v>60</v>
      </c>
      <c r="M242">
        <v>20</v>
      </c>
      <c r="N242">
        <v>0.1</v>
      </c>
      <c r="O242">
        <f t="shared" si="15"/>
        <v>-0.13283778963792</v>
      </c>
      <c r="P242">
        <v>1</v>
      </c>
      <c r="Q242">
        <v>0</v>
      </c>
      <c r="R242">
        <f t="shared" si="16"/>
        <v>333.15</v>
      </c>
      <c r="U242">
        <v>0.001987</v>
      </c>
      <c r="V242">
        <f t="shared" si="17"/>
        <v>0.9</v>
      </c>
      <c r="W242">
        <f t="shared" si="18"/>
        <v>1.1</v>
      </c>
      <c r="X242">
        <f t="shared" si="19"/>
        <v>1.22222222222222</v>
      </c>
      <c r="Y242">
        <v>273.15</v>
      </c>
    </row>
    <row r="243" spans="1:25">
      <c r="A243" t="s">
        <v>355</v>
      </c>
      <c r="B243" t="s">
        <v>351</v>
      </c>
      <c r="C243" t="s">
        <v>352</v>
      </c>
      <c r="D243" t="s">
        <v>33</v>
      </c>
      <c r="E243" t="s">
        <v>34</v>
      </c>
      <c r="F243" t="s">
        <v>35</v>
      </c>
      <c r="G243" t="s">
        <v>353</v>
      </c>
      <c r="H243" t="s">
        <v>354</v>
      </c>
      <c r="I243" t="s">
        <v>36</v>
      </c>
      <c r="J243" t="s">
        <v>37</v>
      </c>
      <c r="L243">
        <v>60</v>
      </c>
      <c r="M243">
        <v>20</v>
      </c>
      <c r="N243">
        <v>0.08</v>
      </c>
      <c r="O243">
        <f t="shared" si="15"/>
        <v>-0.106141871744749</v>
      </c>
      <c r="P243">
        <v>1</v>
      </c>
      <c r="Q243">
        <v>0</v>
      </c>
      <c r="R243">
        <f t="shared" si="16"/>
        <v>333.15</v>
      </c>
      <c r="U243">
        <v>0.001987</v>
      </c>
      <c r="V243">
        <f t="shared" si="17"/>
        <v>0.92</v>
      </c>
      <c r="W243">
        <f t="shared" si="18"/>
        <v>1.08</v>
      </c>
      <c r="X243">
        <f t="shared" si="19"/>
        <v>1.17391304347826</v>
      </c>
      <c r="Y243">
        <v>273.15</v>
      </c>
    </row>
    <row r="244" spans="1:25">
      <c r="A244" t="s">
        <v>356</v>
      </c>
      <c r="B244" t="s">
        <v>351</v>
      </c>
      <c r="C244" t="s">
        <v>352</v>
      </c>
      <c r="D244" t="s">
        <v>39</v>
      </c>
      <c r="E244" t="s">
        <v>40</v>
      </c>
      <c r="F244" t="s">
        <v>41</v>
      </c>
      <c r="G244" t="s">
        <v>353</v>
      </c>
      <c r="H244" t="s">
        <v>354</v>
      </c>
      <c r="I244" t="s">
        <v>42</v>
      </c>
      <c r="J244" t="s">
        <v>43</v>
      </c>
      <c r="L244">
        <v>60</v>
      </c>
      <c r="M244">
        <v>20</v>
      </c>
      <c r="N244">
        <v>0.09</v>
      </c>
      <c r="O244">
        <f t="shared" si="15"/>
        <v>-0.11947771860631</v>
      </c>
      <c r="P244">
        <v>1</v>
      </c>
      <c r="Q244">
        <v>0</v>
      </c>
      <c r="R244">
        <f t="shared" si="16"/>
        <v>333.15</v>
      </c>
      <c r="U244">
        <v>0.001987</v>
      </c>
      <c r="V244">
        <f t="shared" si="17"/>
        <v>0.91</v>
      </c>
      <c r="W244">
        <f t="shared" si="18"/>
        <v>1.09</v>
      </c>
      <c r="X244">
        <f t="shared" si="19"/>
        <v>1.1978021978022</v>
      </c>
      <c r="Y244">
        <v>273.15</v>
      </c>
    </row>
    <row r="245" spans="1:25">
      <c r="A245" t="s">
        <v>357</v>
      </c>
      <c r="B245" t="s">
        <v>351</v>
      </c>
      <c r="C245" t="s">
        <v>352</v>
      </c>
      <c r="D245" t="s">
        <v>45</v>
      </c>
      <c r="E245" t="s">
        <v>46</v>
      </c>
      <c r="F245" t="s">
        <v>47</v>
      </c>
      <c r="G245" t="s">
        <v>353</v>
      </c>
      <c r="H245" t="s">
        <v>354</v>
      </c>
      <c r="I245" t="s">
        <v>48</v>
      </c>
      <c r="J245" t="s">
        <v>49</v>
      </c>
      <c r="L245">
        <v>60</v>
      </c>
      <c r="M245">
        <v>20</v>
      </c>
      <c r="N245">
        <v>0.05</v>
      </c>
      <c r="O245">
        <f t="shared" si="15"/>
        <v>-0.0662521519816801</v>
      </c>
      <c r="P245">
        <v>1</v>
      </c>
      <c r="Q245">
        <v>0</v>
      </c>
      <c r="R245">
        <f t="shared" si="16"/>
        <v>333.15</v>
      </c>
      <c r="U245">
        <v>0.001987</v>
      </c>
      <c r="V245">
        <f t="shared" si="17"/>
        <v>0.95</v>
      </c>
      <c r="W245">
        <f t="shared" si="18"/>
        <v>1.05</v>
      </c>
      <c r="X245">
        <f t="shared" si="19"/>
        <v>1.10526315789474</v>
      </c>
      <c r="Y245">
        <v>273.15</v>
      </c>
    </row>
    <row r="246" spans="1:25">
      <c r="A246" t="s">
        <v>358</v>
      </c>
      <c r="B246" t="s">
        <v>359</v>
      </c>
      <c r="C246" t="s">
        <v>278</v>
      </c>
      <c r="D246" t="s">
        <v>25</v>
      </c>
      <c r="E246" t="s">
        <v>26</v>
      </c>
      <c r="F246" t="s">
        <v>27</v>
      </c>
      <c r="G246" t="s">
        <v>360</v>
      </c>
      <c r="H246" t="s">
        <v>280</v>
      </c>
      <c r="I246" t="s">
        <v>30</v>
      </c>
      <c r="J246" t="s">
        <v>31</v>
      </c>
      <c r="L246">
        <v>60</v>
      </c>
      <c r="M246">
        <v>20</v>
      </c>
      <c r="N246">
        <v>0.11</v>
      </c>
      <c r="O246">
        <f t="shared" si="15"/>
        <v>-0.146224879842001</v>
      </c>
      <c r="P246">
        <v>1</v>
      </c>
      <c r="Q246">
        <v>0</v>
      </c>
      <c r="R246">
        <f t="shared" si="16"/>
        <v>333.15</v>
      </c>
      <c r="U246">
        <v>0.001987</v>
      </c>
      <c r="V246">
        <f t="shared" si="17"/>
        <v>0.89</v>
      </c>
      <c r="W246">
        <f t="shared" si="18"/>
        <v>1.11</v>
      </c>
      <c r="X246">
        <f t="shared" si="19"/>
        <v>1.24719101123596</v>
      </c>
      <c r="Y246">
        <v>273.15</v>
      </c>
    </row>
    <row r="247" spans="1:25">
      <c r="A247" t="s">
        <v>361</v>
      </c>
      <c r="B247" t="s">
        <v>359</v>
      </c>
      <c r="C247" t="s">
        <v>278</v>
      </c>
      <c r="D247" t="s">
        <v>33</v>
      </c>
      <c r="E247" t="s">
        <v>34</v>
      </c>
      <c r="F247" t="s">
        <v>35</v>
      </c>
      <c r="G247" t="s">
        <v>360</v>
      </c>
      <c r="H247" t="s">
        <v>280</v>
      </c>
      <c r="I247" t="s">
        <v>36</v>
      </c>
      <c r="J247" t="s">
        <v>37</v>
      </c>
      <c r="L247">
        <v>60</v>
      </c>
      <c r="M247">
        <v>20</v>
      </c>
      <c r="N247">
        <v>-0.07</v>
      </c>
      <c r="O247">
        <f t="shared" si="15"/>
        <v>0.092827483848213</v>
      </c>
      <c r="P247">
        <v>1</v>
      </c>
      <c r="Q247">
        <v>0</v>
      </c>
      <c r="R247">
        <f t="shared" si="16"/>
        <v>333.15</v>
      </c>
      <c r="U247">
        <v>0.001987</v>
      </c>
      <c r="V247">
        <f t="shared" si="17"/>
        <v>1.07</v>
      </c>
      <c r="W247">
        <f t="shared" si="18"/>
        <v>0.93</v>
      </c>
      <c r="X247">
        <f t="shared" si="19"/>
        <v>0.869158878504673</v>
      </c>
      <c r="Y247">
        <v>273.15</v>
      </c>
    </row>
    <row r="248" spans="1:25">
      <c r="A248" t="s">
        <v>362</v>
      </c>
      <c r="B248" t="s">
        <v>359</v>
      </c>
      <c r="C248" t="s">
        <v>278</v>
      </c>
      <c r="D248" t="s">
        <v>39</v>
      </c>
      <c r="E248" t="s">
        <v>40</v>
      </c>
      <c r="F248" t="s">
        <v>41</v>
      </c>
      <c r="G248" t="s">
        <v>360</v>
      </c>
      <c r="H248" t="s">
        <v>280</v>
      </c>
      <c r="I248" t="s">
        <v>42</v>
      </c>
      <c r="J248" t="s">
        <v>43</v>
      </c>
      <c r="L248">
        <v>60</v>
      </c>
      <c r="M248">
        <v>20</v>
      </c>
      <c r="N248">
        <v>0.09</v>
      </c>
      <c r="O248">
        <f t="shared" si="15"/>
        <v>-0.11947771860631</v>
      </c>
      <c r="P248">
        <v>1</v>
      </c>
      <c r="Q248">
        <v>0</v>
      </c>
      <c r="R248">
        <f t="shared" si="16"/>
        <v>333.15</v>
      </c>
      <c r="U248">
        <v>0.001987</v>
      </c>
      <c r="V248">
        <f t="shared" si="17"/>
        <v>0.91</v>
      </c>
      <c r="W248">
        <f t="shared" si="18"/>
        <v>1.09</v>
      </c>
      <c r="X248">
        <f t="shared" si="19"/>
        <v>1.1978021978022</v>
      </c>
      <c r="Y248">
        <v>273.15</v>
      </c>
    </row>
    <row r="249" spans="1:25">
      <c r="A249" t="s">
        <v>363</v>
      </c>
      <c r="B249" t="s">
        <v>359</v>
      </c>
      <c r="C249" t="s">
        <v>278</v>
      </c>
      <c r="D249" t="s">
        <v>45</v>
      </c>
      <c r="E249" t="s">
        <v>46</v>
      </c>
      <c r="F249" t="s">
        <v>47</v>
      </c>
      <c r="G249" t="s">
        <v>360</v>
      </c>
      <c r="H249" t="s">
        <v>280</v>
      </c>
      <c r="I249" t="s">
        <v>48</v>
      </c>
      <c r="J249" t="s">
        <v>49</v>
      </c>
      <c r="L249">
        <v>60</v>
      </c>
      <c r="M249">
        <v>20</v>
      </c>
      <c r="N249">
        <v>0.15</v>
      </c>
      <c r="O249">
        <f t="shared" si="15"/>
        <v>-0.200100581586898</v>
      </c>
      <c r="P249">
        <v>1</v>
      </c>
      <c r="Q249">
        <v>0</v>
      </c>
      <c r="R249">
        <f t="shared" si="16"/>
        <v>333.15</v>
      </c>
      <c r="U249">
        <v>0.001987</v>
      </c>
      <c r="V249">
        <f t="shared" si="17"/>
        <v>0.85</v>
      </c>
      <c r="W249">
        <f t="shared" si="18"/>
        <v>1.15</v>
      </c>
      <c r="X249">
        <f t="shared" si="19"/>
        <v>1.35294117647059</v>
      </c>
      <c r="Y249">
        <v>273.15</v>
      </c>
    </row>
    <row r="250" spans="1:25">
      <c r="A250" t="s">
        <v>364</v>
      </c>
      <c r="B250" t="s">
        <v>365</v>
      </c>
      <c r="C250" t="s">
        <v>278</v>
      </c>
      <c r="D250" t="s">
        <v>25</v>
      </c>
      <c r="E250" t="s">
        <v>26</v>
      </c>
      <c r="F250" t="s">
        <v>27</v>
      </c>
      <c r="G250" t="s">
        <v>366</v>
      </c>
      <c r="H250" t="s">
        <v>280</v>
      </c>
      <c r="I250" t="s">
        <v>30</v>
      </c>
      <c r="J250" t="s">
        <v>31</v>
      </c>
      <c r="L250">
        <v>60</v>
      </c>
      <c r="M250">
        <v>20</v>
      </c>
      <c r="N250">
        <v>0.54</v>
      </c>
      <c r="O250">
        <f t="shared" si="15"/>
        <v>-0.799864621090218</v>
      </c>
      <c r="P250">
        <v>1</v>
      </c>
      <c r="Q250">
        <v>0</v>
      </c>
      <c r="R250">
        <f t="shared" si="16"/>
        <v>333.15</v>
      </c>
      <c r="U250">
        <v>0.001987</v>
      </c>
      <c r="V250">
        <f t="shared" si="17"/>
        <v>0.46</v>
      </c>
      <c r="W250">
        <f t="shared" si="18"/>
        <v>1.54</v>
      </c>
      <c r="X250">
        <f t="shared" si="19"/>
        <v>3.34782608695652</v>
      </c>
      <c r="Y250">
        <v>273.15</v>
      </c>
    </row>
    <row r="251" spans="1:25">
      <c r="A251" t="s">
        <v>367</v>
      </c>
      <c r="B251" t="s">
        <v>365</v>
      </c>
      <c r="C251" t="s">
        <v>278</v>
      </c>
      <c r="D251" t="s">
        <v>33</v>
      </c>
      <c r="E251" t="s">
        <v>34</v>
      </c>
      <c r="F251" t="s">
        <v>35</v>
      </c>
      <c r="G251" t="s">
        <v>366</v>
      </c>
      <c r="H251" t="s">
        <v>280</v>
      </c>
      <c r="I251" t="s">
        <v>36</v>
      </c>
      <c r="J251" t="s">
        <v>37</v>
      </c>
      <c r="L251">
        <v>60</v>
      </c>
      <c r="M251">
        <v>20</v>
      </c>
      <c r="N251">
        <v>0.48</v>
      </c>
      <c r="O251">
        <f t="shared" si="15"/>
        <v>-0.692398810804156</v>
      </c>
      <c r="P251">
        <v>1</v>
      </c>
      <c r="Q251">
        <v>0</v>
      </c>
      <c r="R251">
        <f t="shared" si="16"/>
        <v>333.15</v>
      </c>
      <c r="U251">
        <v>0.001987</v>
      </c>
      <c r="V251">
        <f t="shared" si="17"/>
        <v>0.52</v>
      </c>
      <c r="W251">
        <f t="shared" si="18"/>
        <v>1.48</v>
      </c>
      <c r="X251">
        <f t="shared" si="19"/>
        <v>2.84615384615385</v>
      </c>
      <c r="Y251">
        <v>273.15</v>
      </c>
    </row>
    <row r="252" spans="1:25">
      <c r="A252" t="s">
        <v>368</v>
      </c>
      <c r="B252" t="s">
        <v>365</v>
      </c>
      <c r="C252" t="s">
        <v>278</v>
      </c>
      <c r="D252" t="s">
        <v>39</v>
      </c>
      <c r="E252" t="s">
        <v>40</v>
      </c>
      <c r="F252" t="s">
        <v>41</v>
      </c>
      <c r="G252" t="s">
        <v>366</v>
      </c>
      <c r="H252" t="s">
        <v>280</v>
      </c>
      <c r="I252" t="s">
        <v>42</v>
      </c>
      <c r="J252" t="s">
        <v>43</v>
      </c>
      <c r="L252">
        <v>60</v>
      </c>
      <c r="M252">
        <v>20</v>
      </c>
      <c r="N252">
        <v>-0.87</v>
      </c>
      <c r="O252">
        <f t="shared" si="15"/>
        <v>1.76491491208912</v>
      </c>
      <c r="P252">
        <v>1</v>
      </c>
      <c r="Q252">
        <v>0</v>
      </c>
      <c r="R252">
        <f t="shared" si="16"/>
        <v>333.15</v>
      </c>
      <c r="U252">
        <v>0.001987</v>
      </c>
      <c r="V252">
        <f t="shared" si="17"/>
        <v>1.87</v>
      </c>
      <c r="W252">
        <f t="shared" si="18"/>
        <v>0.13</v>
      </c>
      <c r="X252">
        <f t="shared" si="19"/>
        <v>0.0695187165775401</v>
      </c>
      <c r="Y252">
        <v>273.15</v>
      </c>
    </row>
    <row r="253" spans="1:25">
      <c r="A253" t="s">
        <v>369</v>
      </c>
      <c r="B253" t="s">
        <v>365</v>
      </c>
      <c r="C253" t="s">
        <v>278</v>
      </c>
      <c r="D253" t="s">
        <v>45</v>
      </c>
      <c r="E253" t="s">
        <v>46</v>
      </c>
      <c r="F253" t="s">
        <v>47</v>
      </c>
      <c r="G253" t="s">
        <v>366</v>
      </c>
      <c r="H253" t="s">
        <v>280</v>
      </c>
      <c r="I253" t="s">
        <v>48</v>
      </c>
      <c r="J253" t="s">
        <v>49</v>
      </c>
      <c r="L253">
        <v>60</v>
      </c>
      <c r="M253">
        <v>20</v>
      </c>
      <c r="N253">
        <v>-0.91</v>
      </c>
      <c r="O253">
        <f t="shared" si="15"/>
        <v>2.02234778540836</v>
      </c>
      <c r="P253">
        <v>1</v>
      </c>
      <c r="Q253">
        <v>0</v>
      </c>
      <c r="R253">
        <f t="shared" si="16"/>
        <v>333.15</v>
      </c>
      <c r="U253">
        <v>0.001987</v>
      </c>
      <c r="V253">
        <f t="shared" si="17"/>
        <v>1.91</v>
      </c>
      <c r="W253">
        <f t="shared" si="18"/>
        <v>0.09</v>
      </c>
      <c r="X253">
        <f t="shared" si="19"/>
        <v>0.0471204188481675</v>
      </c>
      <c r="Y253">
        <v>273.15</v>
      </c>
    </row>
    <row r="254" spans="1:25">
      <c r="A254" t="s">
        <v>370</v>
      </c>
      <c r="B254" t="s">
        <v>365</v>
      </c>
      <c r="C254" t="s">
        <v>371</v>
      </c>
      <c r="D254" t="s">
        <v>25</v>
      </c>
      <c r="E254" t="s">
        <v>26</v>
      </c>
      <c r="F254" t="s">
        <v>27</v>
      </c>
      <c r="G254" t="s">
        <v>366</v>
      </c>
      <c r="H254" t="s">
        <v>372</v>
      </c>
      <c r="I254" t="s">
        <v>30</v>
      </c>
      <c r="J254" t="s">
        <v>31</v>
      </c>
      <c r="L254">
        <v>60</v>
      </c>
      <c r="M254">
        <v>20</v>
      </c>
      <c r="N254">
        <v>0.46</v>
      </c>
      <c r="O254">
        <f t="shared" si="15"/>
        <v>-0.658409361176668</v>
      </c>
      <c r="P254">
        <v>1</v>
      </c>
      <c r="Q254">
        <v>0</v>
      </c>
      <c r="R254">
        <f t="shared" si="16"/>
        <v>333.15</v>
      </c>
      <c r="U254">
        <v>0.001987</v>
      </c>
      <c r="V254">
        <f t="shared" si="17"/>
        <v>0.54</v>
      </c>
      <c r="W254">
        <f t="shared" si="18"/>
        <v>1.46</v>
      </c>
      <c r="X254">
        <f t="shared" si="19"/>
        <v>2.7037037037037</v>
      </c>
      <c r="Y254">
        <v>273.15</v>
      </c>
    </row>
    <row r="255" spans="1:25">
      <c r="A255" t="s">
        <v>373</v>
      </c>
      <c r="B255" t="s">
        <v>365</v>
      </c>
      <c r="C255" t="s">
        <v>371</v>
      </c>
      <c r="D255" t="s">
        <v>33</v>
      </c>
      <c r="E255" t="s">
        <v>34</v>
      </c>
      <c r="F255" t="s">
        <v>35</v>
      </c>
      <c r="G255" t="s">
        <v>366</v>
      </c>
      <c r="H255" t="s">
        <v>372</v>
      </c>
      <c r="I255" t="s">
        <v>36</v>
      </c>
      <c r="J255" t="s">
        <v>37</v>
      </c>
      <c r="L255">
        <v>60</v>
      </c>
      <c r="M255">
        <v>20</v>
      </c>
      <c r="N255">
        <v>0.43</v>
      </c>
      <c r="O255">
        <f t="shared" si="15"/>
        <v>-0.608874738321019</v>
      </c>
      <c r="P255">
        <v>1</v>
      </c>
      <c r="Q255">
        <v>0</v>
      </c>
      <c r="R255">
        <f t="shared" si="16"/>
        <v>333.15</v>
      </c>
      <c r="U255">
        <v>0.001987</v>
      </c>
      <c r="V255">
        <f t="shared" si="17"/>
        <v>0.57</v>
      </c>
      <c r="W255">
        <f t="shared" si="18"/>
        <v>1.43</v>
      </c>
      <c r="X255">
        <f t="shared" si="19"/>
        <v>2.50877192982456</v>
      </c>
      <c r="Y255">
        <v>273.15</v>
      </c>
    </row>
    <row r="256" spans="1:25">
      <c r="A256" t="s">
        <v>374</v>
      </c>
      <c r="B256" t="s">
        <v>365</v>
      </c>
      <c r="C256" t="s">
        <v>371</v>
      </c>
      <c r="D256" t="s">
        <v>39</v>
      </c>
      <c r="E256" t="s">
        <v>40</v>
      </c>
      <c r="F256" t="s">
        <v>41</v>
      </c>
      <c r="G256" t="s">
        <v>366</v>
      </c>
      <c r="H256" t="s">
        <v>372</v>
      </c>
      <c r="I256" t="s">
        <v>42</v>
      </c>
      <c r="J256" t="s">
        <v>43</v>
      </c>
      <c r="L256">
        <v>60</v>
      </c>
      <c r="M256">
        <v>20</v>
      </c>
      <c r="N256">
        <v>-0.81</v>
      </c>
      <c r="O256">
        <f t="shared" si="15"/>
        <v>1.49211666739308</v>
      </c>
      <c r="P256">
        <v>1</v>
      </c>
      <c r="Q256">
        <v>0</v>
      </c>
      <c r="R256">
        <f t="shared" si="16"/>
        <v>333.15</v>
      </c>
      <c r="U256">
        <v>0.001987</v>
      </c>
      <c r="V256">
        <f t="shared" si="17"/>
        <v>1.81</v>
      </c>
      <c r="W256">
        <f t="shared" si="18"/>
        <v>0.19</v>
      </c>
      <c r="X256">
        <f t="shared" si="19"/>
        <v>0.104972375690608</v>
      </c>
      <c r="Y256">
        <v>273.15</v>
      </c>
    </row>
    <row r="257" spans="1:25">
      <c r="A257" t="s">
        <v>375</v>
      </c>
      <c r="B257" t="s">
        <v>365</v>
      </c>
      <c r="C257" t="s">
        <v>371</v>
      </c>
      <c r="D257" t="s">
        <v>45</v>
      </c>
      <c r="E257" t="s">
        <v>46</v>
      </c>
      <c r="F257" t="s">
        <v>47</v>
      </c>
      <c r="G257" t="s">
        <v>366</v>
      </c>
      <c r="H257" t="s">
        <v>372</v>
      </c>
      <c r="I257" t="s">
        <v>48</v>
      </c>
      <c r="J257" t="s">
        <v>49</v>
      </c>
      <c r="L257">
        <v>60</v>
      </c>
      <c r="M257">
        <v>20</v>
      </c>
      <c r="N257">
        <v>-0.86</v>
      </c>
      <c r="O257">
        <f t="shared" si="15"/>
        <v>1.71230828775764</v>
      </c>
      <c r="P257">
        <v>1</v>
      </c>
      <c r="Q257">
        <v>0</v>
      </c>
      <c r="R257">
        <f t="shared" si="16"/>
        <v>333.15</v>
      </c>
      <c r="U257">
        <v>0.001987</v>
      </c>
      <c r="V257">
        <f t="shared" si="17"/>
        <v>1.86</v>
      </c>
      <c r="W257">
        <f t="shared" si="18"/>
        <v>0.14</v>
      </c>
      <c r="X257">
        <f t="shared" si="19"/>
        <v>0.0752688172043011</v>
      </c>
      <c r="Y257">
        <v>273.15</v>
      </c>
    </row>
    <row r="258" spans="1:25">
      <c r="A258" t="s">
        <v>376</v>
      </c>
      <c r="B258" t="s">
        <v>365</v>
      </c>
      <c r="C258" t="s">
        <v>377</v>
      </c>
      <c r="D258" t="s">
        <v>25</v>
      </c>
      <c r="E258" t="s">
        <v>26</v>
      </c>
      <c r="F258" t="s">
        <v>27</v>
      </c>
      <c r="G258" t="s">
        <v>366</v>
      </c>
      <c r="H258" t="s">
        <v>378</v>
      </c>
      <c r="I258" t="s">
        <v>30</v>
      </c>
      <c r="J258" t="s">
        <v>31</v>
      </c>
      <c r="L258">
        <v>60</v>
      </c>
      <c r="M258">
        <v>5</v>
      </c>
      <c r="N258">
        <v>0.72</v>
      </c>
      <c r="O258">
        <f t="shared" si="15"/>
        <v>-1.20166577469005</v>
      </c>
      <c r="P258">
        <v>1</v>
      </c>
      <c r="Q258">
        <v>0</v>
      </c>
      <c r="R258">
        <f t="shared" si="16"/>
        <v>333.15</v>
      </c>
      <c r="U258">
        <v>0.001987</v>
      </c>
      <c r="V258">
        <f t="shared" si="17"/>
        <v>0.28</v>
      </c>
      <c r="W258">
        <f t="shared" si="18"/>
        <v>1.72</v>
      </c>
      <c r="X258">
        <f t="shared" si="19"/>
        <v>6.14285714285714</v>
      </c>
      <c r="Y258">
        <v>273.15</v>
      </c>
    </row>
    <row r="259" spans="1:25">
      <c r="A259" t="s">
        <v>379</v>
      </c>
      <c r="B259" t="s">
        <v>365</v>
      </c>
      <c r="C259" t="s">
        <v>377</v>
      </c>
      <c r="D259" t="s">
        <v>33</v>
      </c>
      <c r="E259" t="s">
        <v>34</v>
      </c>
      <c r="F259" t="s">
        <v>35</v>
      </c>
      <c r="G259" t="s">
        <v>366</v>
      </c>
      <c r="H259" t="s">
        <v>378</v>
      </c>
      <c r="I259" t="s">
        <v>36</v>
      </c>
      <c r="J259" t="s">
        <v>37</v>
      </c>
      <c r="L259">
        <v>60</v>
      </c>
      <c r="M259">
        <v>5</v>
      </c>
      <c r="N259">
        <v>0.65</v>
      </c>
      <c r="O259">
        <f t="shared" ref="O259:O322" si="20">-U259*R259*LN(X259)</f>
        <v>-1.02644749602628</v>
      </c>
      <c r="P259">
        <v>1</v>
      </c>
      <c r="Q259">
        <v>0</v>
      </c>
      <c r="R259">
        <f t="shared" ref="R259:R322" si="21">L259+Y259</f>
        <v>333.15</v>
      </c>
      <c r="U259">
        <v>0.001987</v>
      </c>
      <c r="V259">
        <f t="shared" ref="V259:V322" si="22">1-N259</f>
        <v>0.35</v>
      </c>
      <c r="W259">
        <f t="shared" ref="W259:W322" si="23">1+N259</f>
        <v>1.65</v>
      </c>
      <c r="X259">
        <f t="shared" ref="X259:X322" si="24">W259/V259</f>
        <v>4.71428571428571</v>
      </c>
      <c r="Y259">
        <v>273.15</v>
      </c>
    </row>
    <row r="260" spans="1:25">
      <c r="A260" t="s">
        <v>380</v>
      </c>
      <c r="B260" t="s">
        <v>365</v>
      </c>
      <c r="C260" t="s">
        <v>377</v>
      </c>
      <c r="D260" t="s">
        <v>39</v>
      </c>
      <c r="E260" t="s">
        <v>40</v>
      </c>
      <c r="F260" t="s">
        <v>41</v>
      </c>
      <c r="G260" t="s">
        <v>366</v>
      </c>
      <c r="H260" t="s">
        <v>378</v>
      </c>
      <c r="I260" t="s">
        <v>42</v>
      </c>
      <c r="J260" t="s">
        <v>43</v>
      </c>
      <c r="L260">
        <v>60</v>
      </c>
      <c r="M260">
        <v>5</v>
      </c>
      <c r="N260">
        <v>-0.88</v>
      </c>
      <c r="O260">
        <f t="shared" si="20"/>
        <v>1.82143121721583</v>
      </c>
      <c r="P260">
        <v>1</v>
      </c>
      <c r="Q260">
        <v>0</v>
      </c>
      <c r="R260">
        <f t="shared" si="21"/>
        <v>333.15</v>
      </c>
      <c r="U260">
        <v>0.001987</v>
      </c>
      <c r="V260">
        <f t="shared" si="22"/>
        <v>1.88</v>
      </c>
      <c r="W260">
        <f t="shared" si="23"/>
        <v>0.12</v>
      </c>
      <c r="X260">
        <f t="shared" si="24"/>
        <v>0.0638297872340425</v>
      </c>
      <c r="Y260">
        <v>273.15</v>
      </c>
    </row>
    <row r="261" spans="1:25">
      <c r="A261" t="s">
        <v>381</v>
      </c>
      <c r="B261" t="s">
        <v>365</v>
      </c>
      <c r="C261" t="s">
        <v>377</v>
      </c>
      <c r="D261" t="s">
        <v>45</v>
      </c>
      <c r="E261" t="s">
        <v>46</v>
      </c>
      <c r="F261" t="s">
        <v>47</v>
      </c>
      <c r="G261" t="s">
        <v>366</v>
      </c>
      <c r="H261" t="s">
        <v>378</v>
      </c>
      <c r="I261" t="s">
        <v>48</v>
      </c>
      <c r="J261" t="s">
        <v>49</v>
      </c>
      <c r="L261">
        <v>60</v>
      </c>
      <c r="M261">
        <v>5</v>
      </c>
      <c r="N261">
        <v>-0.87</v>
      </c>
      <c r="O261">
        <f t="shared" si="20"/>
        <v>1.76491491208912</v>
      </c>
      <c r="P261">
        <v>1</v>
      </c>
      <c r="Q261">
        <v>0</v>
      </c>
      <c r="R261">
        <f t="shared" si="21"/>
        <v>333.15</v>
      </c>
      <c r="U261">
        <v>0.001987</v>
      </c>
      <c r="V261">
        <f t="shared" si="22"/>
        <v>1.87</v>
      </c>
      <c r="W261">
        <f t="shared" si="23"/>
        <v>0.13</v>
      </c>
      <c r="X261">
        <f t="shared" si="24"/>
        <v>0.0695187165775401</v>
      </c>
      <c r="Y261">
        <v>273.15</v>
      </c>
    </row>
    <row r="262" spans="1:25">
      <c r="A262" t="s">
        <v>382</v>
      </c>
      <c r="B262" t="s">
        <v>365</v>
      </c>
      <c r="C262" t="s">
        <v>377</v>
      </c>
      <c r="D262" t="s">
        <v>25</v>
      </c>
      <c r="E262" t="s">
        <v>26</v>
      </c>
      <c r="F262" t="s">
        <v>27</v>
      </c>
      <c r="G262" t="s">
        <v>366</v>
      </c>
      <c r="H262" t="s">
        <v>378</v>
      </c>
      <c r="I262" t="s">
        <v>30</v>
      </c>
      <c r="J262" t="s">
        <v>31</v>
      </c>
      <c r="L262">
        <v>60</v>
      </c>
      <c r="M262">
        <v>50</v>
      </c>
      <c r="N262">
        <v>0.74</v>
      </c>
      <c r="O262">
        <f t="shared" si="20"/>
        <v>-1.25837586523614</v>
      </c>
      <c r="P262">
        <v>1</v>
      </c>
      <c r="Q262">
        <v>0</v>
      </c>
      <c r="R262">
        <f t="shared" si="21"/>
        <v>333.15</v>
      </c>
      <c r="U262">
        <v>0.001987</v>
      </c>
      <c r="V262">
        <f t="shared" si="22"/>
        <v>0.26</v>
      </c>
      <c r="W262">
        <f t="shared" si="23"/>
        <v>1.74</v>
      </c>
      <c r="X262">
        <f t="shared" si="24"/>
        <v>6.69230769230769</v>
      </c>
      <c r="Y262">
        <v>273.15</v>
      </c>
    </row>
    <row r="263" spans="1:25">
      <c r="A263" t="s">
        <v>383</v>
      </c>
      <c r="B263" t="s">
        <v>365</v>
      </c>
      <c r="C263" t="s">
        <v>377</v>
      </c>
      <c r="D263" t="s">
        <v>33</v>
      </c>
      <c r="E263" t="s">
        <v>34</v>
      </c>
      <c r="F263" t="s">
        <v>35</v>
      </c>
      <c r="G263" t="s">
        <v>366</v>
      </c>
      <c r="H263" t="s">
        <v>378</v>
      </c>
      <c r="I263" t="s">
        <v>36</v>
      </c>
      <c r="J263" t="s">
        <v>37</v>
      </c>
      <c r="L263">
        <v>60</v>
      </c>
      <c r="M263">
        <v>50</v>
      </c>
      <c r="N263">
        <v>0.67</v>
      </c>
      <c r="O263">
        <f t="shared" si="20"/>
        <v>-1.07337371312962</v>
      </c>
      <c r="P263">
        <v>1</v>
      </c>
      <c r="Q263">
        <v>0</v>
      </c>
      <c r="R263">
        <f t="shared" si="21"/>
        <v>333.15</v>
      </c>
      <c r="U263">
        <v>0.001987</v>
      </c>
      <c r="V263">
        <f t="shared" si="22"/>
        <v>0.33</v>
      </c>
      <c r="W263">
        <f t="shared" si="23"/>
        <v>1.67</v>
      </c>
      <c r="X263">
        <f t="shared" si="24"/>
        <v>5.06060606060606</v>
      </c>
      <c r="Y263">
        <v>273.15</v>
      </c>
    </row>
    <row r="264" spans="1:25">
      <c r="A264" t="s">
        <v>384</v>
      </c>
      <c r="B264" t="s">
        <v>365</v>
      </c>
      <c r="C264" t="s">
        <v>377</v>
      </c>
      <c r="D264" t="s">
        <v>39</v>
      </c>
      <c r="E264" t="s">
        <v>40</v>
      </c>
      <c r="F264" t="s">
        <v>41</v>
      </c>
      <c r="G264" t="s">
        <v>366</v>
      </c>
      <c r="H264" t="s">
        <v>378</v>
      </c>
      <c r="I264" t="s">
        <v>42</v>
      </c>
      <c r="J264" t="s">
        <v>43</v>
      </c>
      <c r="L264">
        <v>60</v>
      </c>
      <c r="M264">
        <v>50</v>
      </c>
      <c r="N264">
        <v>-0.9</v>
      </c>
      <c r="O264">
        <f t="shared" si="20"/>
        <v>1.94912747382178</v>
      </c>
      <c r="P264">
        <v>1</v>
      </c>
      <c r="Q264">
        <v>0</v>
      </c>
      <c r="R264">
        <f t="shared" si="21"/>
        <v>333.15</v>
      </c>
      <c r="U264">
        <v>0.001987</v>
      </c>
      <c r="V264">
        <f t="shared" si="22"/>
        <v>1.9</v>
      </c>
      <c r="W264">
        <f t="shared" si="23"/>
        <v>0.1</v>
      </c>
      <c r="X264">
        <f t="shared" si="24"/>
        <v>0.0526315789473684</v>
      </c>
      <c r="Y264">
        <v>273.15</v>
      </c>
    </row>
    <row r="265" spans="1:25">
      <c r="A265" t="s">
        <v>385</v>
      </c>
      <c r="B265" t="s">
        <v>365</v>
      </c>
      <c r="C265" t="s">
        <v>377</v>
      </c>
      <c r="D265" t="s">
        <v>45</v>
      </c>
      <c r="E265" t="s">
        <v>46</v>
      </c>
      <c r="F265" t="s">
        <v>47</v>
      </c>
      <c r="G265" t="s">
        <v>366</v>
      </c>
      <c r="H265" t="s">
        <v>378</v>
      </c>
      <c r="I265" t="s">
        <v>48</v>
      </c>
      <c r="J265" t="s">
        <v>49</v>
      </c>
      <c r="L265">
        <v>60</v>
      </c>
      <c r="M265">
        <v>50</v>
      </c>
      <c r="N265">
        <v>-0.89</v>
      </c>
      <c r="O265">
        <f t="shared" si="20"/>
        <v>1.88254183616554</v>
      </c>
      <c r="P265">
        <v>1</v>
      </c>
      <c r="Q265">
        <v>0</v>
      </c>
      <c r="R265">
        <f t="shared" si="21"/>
        <v>333.15</v>
      </c>
      <c r="U265">
        <v>0.001987</v>
      </c>
      <c r="V265">
        <f t="shared" si="22"/>
        <v>1.89</v>
      </c>
      <c r="W265">
        <f t="shared" si="23"/>
        <v>0.11</v>
      </c>
      <c r="X265">
        <f t="shared" si="24"/>
        <v>0.0582010582010582</v>
      </c>
      <c r="Y265">
        <v>273.15</v>
      </c>
    </row>
    <row r="266" spans="1:25">
      <c r="A266" t="s">
        <v>386</v>
      </c>
      <c r="B266" t="s">
        <v>365</v>
      </c>
      <c r="C266" t="s">
        <v>377</v>
      </c>
      <c r="D266" t="s">
        <v>25</v>
      </c>
      <c r="E266" t="s">
        <v>26</v>
      </c>
      <c r="F266" t="s">
        <v>27</v>
      </c>
      <c r="G266" t="s">
        <v>366</v>
      </c>
      <c r="H266" t="s">
        <v>378</v>
      </c>
      <c r="I266" t="s">
        <v>30</v>
      </c>
      <c r="J266" t="s">
        <v>31</v>
      </c>
      <c r="L266">
        <v>60</v>
      </c>
      <c r="M266">
        <v>20</v>
      </c>
      <c r="N266">
        <v>0.75</v>
      </c>
      <c r="O266">
        <f t="shared" si="20"/>
        <v>-1.2881322927555</v>
      </c>
      <c r="P266">
        <v>1</v>
      </c>
      <c r="Q266">
        <v>0</v>
      </c>
      <c r="R266">
        <f t="shared" si="21"/>
        <v>333.15</v>
      </c>
      <c r="U266">
        <v>0.001987</v>
      </c>
      <c r="V266">
        <f t="shared" si="22"/>
        <v>0.25</v>
      </c>
      <c r="W266">
        <f t="shared" si="23"/>
        <v>1.75</v>
      </c>
      <c r="X266">
        <f t="shared" si="24"/>
        <v>7</v>
      </c>
      <c r="Y266">
        <v>273.15</v>
      </c>
    </row>
    <row r="267" spans="1:25">
      <c r="A267" t="s">
        <v>387</v>
      </c>
      <c r="B267" t="s">
        <v>365</v>
      </c>
      <c r="C267" t="s">
        <v>377</v>
      </c>
      <c r="D267" t="s">
        <v>33</v>
      </c>
      <c r="E267" t="s">
        <v>34</v>
      </c>
      <c r="F267" t="s">
        <v>35</v>
      </c>
      <c r="G267" t="s">
        <v>366</v>
      </c>
      <c r="H267" t="s">
        <v>378</v>
      </c>
      <c r="I267" t="s">
        <v>36</v>
      </c>
      <c r="J267" t="s">
        <v>37</v>
      </c>
      <c r="L267">
        <v>60</v>
      </c>
      <c r="M267">
        <v>20</v>
      </c>
      <c r="N267">
        <v>0.69</v>
      </c>
      <c r="O267">
        <f t="shared" si="20"/>
        <v>-1.12264093144866</v>
      </c>
      <c r="P267">
        <v>1</v>
      </c>
      <c r="Q267">
        <v>0</v>
      </c>
      <c r="R267">
        <f t="shared" si="21"/>
        <v>333.15</v>
      </c>
      <c r="U267">
        <v>0.001987</v>
      </c>
      <c r="V267">
        <f t="shared" si="22"/>
        <v>0.31</v>
      </c>
      <c r="W267">
        <f t="shared" si="23"/>
        <v>1.69</v>
      </c>
      <c r="X267">
        <f t="shared" si="24"/>
        <v>5.45161290322581</v>
      </c>
      <c r="Y267">
        <v>273.15</v>
      </c>
    </row>
    <row r="268" spans="1:25">
      <c r="A268" t="s">
        <v>388</v>
      </c>
      <c r="B268" t="s">
        <v>365</v>
      </c>
      <c r="C268" t="s">
        <v>377</v>
      </c>
      <c r="D268" t="s">
        <v>39</v>
      </c>
      <c r="E268" t="s">
        <v>40</v>
      </c>
      <c r="F268" t="s">
        <v>41</v>
      </c>
      <c r="G268" t="s">
        <v>366</v>
      </c>
      <c r="H268" t="s">
        <v>378</v>
      </c>
      <c r="I268" t="s">
        <v>42</v>
      </c>
      <c r="J268" t="s">
        <v>43</v>
      </c>
      <c r="L268">
        <v>60</v>
      </c>
      <c r="M268">
        <v>20</v>
      </c>
      <c r="N268">
        <v>-0.9</v>
      </c>
      <c r="O268">
        <f t="shared" si="20"/>
        <v>1.94912747382178</v>
      </c>
      <c r="P268">
        <v>1</v>
      </c>
      <c r="Q268">
        <v>0</v>
      </c>
      <c r="R268">
        <f t="shared" si="21"/>
        <v>333.15</v>
      </c>
      <c r="U268">
        <v>0.001987</v>
      </c>
      <c r="V268">
        <f t="shared" si="22"/>
        <v>1.9</v>
      </c>
      <c r="W268">
        <f t="shared" si="23"/>
        <v>0.1</v>
      </c>
      <c r="X268">
        <f t="shared" si="24"/>
        <v>0.0526315789473684</v>
      </c>
      <c r="Y268">
        <v>273.15</v>
      </c>
    </row>
    <row r="269" spans="1:25">
      <c r="A269" t="s">
        <v>389</v>
      </c>
      <c r="B269" t="s">
        <v>365</v>
      </c>
      <c r="C269" t="s">
        <v>377</v>
      </c>
      <c r="D269" t="s">
        <v>45</v>
      </c>
      <c r="E269" t="s">
        <v>46</v>
      </c>
      <c r="F269" t="s">
        <v>47</v>
      </c>
      <c r="G269" t="s">
        <v>366</v>
      </c>
      <c r="H269" t="s">
        <v>378</v>
      </c>
      <c r="I269" t="s">
        <v>48</v>
      </c>
      <c r="J269" t="s">
        <v>49</v>
      </c>
      <c r="L269">
        <v>60</v>
      </c>
      <c r="M269">
        <v>20</v>
      </c>
      <c r="N269">
        <v>-0.9</v>
      </c>
      <c r="O269">
        <f t="shared" si="20"/>
        <v>1.94912747382178</v>
      </c>
      <c r="P269">
        <v>1</v>
      </c>
      <c r="Q269">
        <v>0</v>
      </c>
      <c r="R269">
        <f t="shared" si="21"/>
        <v>333.15</v>
      </c>
      <c r="U269">
        <v>0.001987</v>
      </c>
      <c r="V269">
        <f t="shared" si="22"/>
        <v>1.9</v>
      </c>
      <c r="W269">
        <f t="shared" si="23"/>
        <v>0.1</v>
      </c>
      <c r="X269">
        <f t="shared" si="24"/>
        <v>0.0526315789473684</v>
      </c>
      <c r="Y269">
        <v>273.15</v>
      </c>
    </row>
    <row r="270" spans="1:25">
      <c r="A270" t="s">
        <v>390</v>
      </c>
      <c r="B270" t="s">
        <v>365</v>
      </c>
      <c r="C270" t="s">
        <v>391</v>
      </c>
      <c r="D270" t="s">
        <v>25</v>
      </c>
      <c r="E270" t="s">
        <v>26</v>
      </c>
      <c r="F270" t="s">
        <v>27</v>
      </c>
      <c r="G270" t="s">
        <v>366</v>
      </c>
      <c r="H270" t="s">
        <v>392</v>
      </c>
      <c r="I270" t="s">
        <v>30</v>
      </c>
      <c r="J270" t="s">
        <v>31</v>
      </c>
      <c r="L270">
        <v>60</v>
      </c>
      <c r="M270">
        <v>20</v>
      </c>
      <c r="N270">
        <v>0.45</v>
      </c>
      <c r="O270">
        <f t="shared" si="20"/>
        <v>-0.641713165911279</v>
      </c>
      <c r="P270">
        <v>1</v>
      </c>
      <c r="Q270">
        <v>0</v>
      </c>
      <c r="R270">
        <f t="shared" si="21"/>
        <v>333.15</v>
      </c>
      <c r="U270">
        <v>0.001987</v>
      </c>
      <c r="V270">
        <f t="shared" si="22"/>
        <v>0.55</v>
      </c>
      <c r="W270">
        <f t="shared" si="23"/>
        <v>1.45</v>
      </c>
      <c r="X270">
        <f t="shared" si="24"/>
        <v>2.63636363636364</v>
      </c>
      <c r="Y270">
        <v>273.15</v>
      </c>
    </row>
    <row r="271" spans="1:25">
      <c r="A271" t="s">
        <v>393</v>
      </c>
      <c r="B271" t="s">
        <v>365</v>
      </c>
      <c r="C271" t="s">
        <v>391</v>
      </c>
      <c r="D271" t="s">
        <v>33</v>
      </c>
      <c r="E271" t="s">
        <v>34</v>
      </c>
      <c r="F271" t="s">
        <v>35</v>
      </c>
      <c r="G271" t="s">
        <v>366</v>
      </c>
      <c r="H271" t="s">
        <v>392</v>
      </c>
      <c r="I271" t="s">
        <v>36</v>
      </c>
      <c r="J271" t="s">
        <v>37</v>
      </c>
      <c r="L271">
        <v>60</v>
      </c>
      <c r="M271">
        <v>20</v>
      </c>
      <c r="N271">
        <v>0.39</v>
      </c>
      <c r="O271">
        <f t="shared" si="20"/>
        <v>-0.545197755227652</v>
      </c>
      <c r="P271">
        <v>1</v>
      </c>
      <c r="Q271">
        <v>0</v>
      </c>
      <c r="R271">
        <f t="shared" si="21"/>
        <v>333.15</v>
      </c>
      <c r="U271">
        <v>0.001987</v>
      </c>
      <c r="V271">
        <f t="shared" si="22"/>
        <v>0.61</v>
      </c>
      <c r="W271">
        <f t="shared" si="23"/>
        <v>1.39</v>
      </c>
      <c r="X271">
        <f t="shared" si="24"/>
        <v>2.27868852459016</v>
      </c>
      <c r="Y271">
        <v>273.15</v>
      </c>
    </row>
    <row r="272" spans="1:25">
      <c r="A272" t="s">
        <v>394</v>
      </c>
      <c r="B272" t="s">
        <v>365</v>
      </c>
      <c r="C272" t="s">
        <v>391</v>
      </c>
      <c r="D272" t="s">
        <v>39</v>
      </c>
      <c r="E272" t="s">
        <v>40</v>
      </c>
      <c r="F272" t="s">
        <v>41</v>
      </c>
      <c r="G272" t="s">
        <v>366</v>
      </c>
      <c r="H272" t="s">
        <v>392</v>
      </c>
      <c r="I272" t="s">
        <v>42</v>
      </c>
      <c r="J272" t="s">
        <v>43</v>
      </c>
      <c r="L272">
        <v>60</v>
      </c>
      <c r="M272">
        <v>20</v>
      </c>
      <c r="N272">
        <v>-0.87</v>
      </c>
      <c r="O272">
        <f t="shared" si="20"/>
        <v>1.76491491208912</v>
      </c>
      <c r="P272">
        <v>1</v>
      </c>
      <c r="Q272">
        <v>0</v>
      </c>
      <c r="R272">
        <f t="shared" si="21"/>
        <v>333.15</v>
      </c>
      <c r="U272">
        <v>0.001987</v>
      </c>
      <c r="V272">
        <f t="shared" si="22"/>
        <v>1.87</v>
      </c>
      <c r="W272">
        <f t="shared" si="23"/>
        <v>0.13</v>
      </c>
      <c r="X272">
        <f t="shared" si="24"/>
        <v>0.0695187165775401</v>
      </c>
      <c r="Y272">
        <v>273.15</v>
      </c>
    </row>
    <row r="273" spans="1:25">
      <c r="A273" t="s">
        <v>395</v>
      </c>
      <c r="B273" t="s">
        <v>365</v>
      </c>
      <c r="C273" t="s">
        <v>391</v>
      </c>
      <c r="D273" t="s">
        <v>45</v>
      </c>
      <c r="E273" t="s">
        <v>46</v>
      </c>
      <c r="F273" t="s">
        <v>47</v>
      </c>
      <c r="G273" t="s">
        <v>366</v>
      </c>
      <c r="H273" t="s">
        <v>392</v>
      </c>
      <c r="I273" t="s">
        <v>48</v>
      </c>
      <c r="J273" t="s">
        <v>49</v>
      </c>
      <c r="L273">
        <v>60</v>
      </c>
      <c r="M273">
        <v>20</v>
      </c>
      <c r="N273">
        <v>-0.87</v>
      </c>
      <c r="O273">
        <f t="shared" si="20"/>
        <v>1.76491491208912</v>
      </c>
      <c r="P273">
        <v>1</v>
      </c>
      <c r="Q273">
        <v>0</v>
      </c>
      <c r="R273">
        <f t="shared" si="21"/>
        <v>333.15</v>
      </c>
      <c r="U273">
        <v>0.001987</v>
      </c>
      <c r="V273">
        <f t="shared" si="22"/>
        <v>1.87</v>
      </c>
      <c r="W273">
        <f t="shared" si="23"/>
        <v>0.13</v>
      </c>
      <c r="X273">
        <f t="shared" si="24"/>
        <v>0.0695187165775401</v>
      </c>
      <c r="Y273">
        <v>273.15</v>
      </c>
    </row>
    <row r="274" spans="1:25">
      <c r="A274" t="s">
        <v>396</v>
      </c>
      <c r="B274" t="s">
        <v>397</v>
      </c>
      <c r="C274" t="s">
        <v>278</v>
      </c>
      <c r="D274" t="s">
        <v>25</v>
      </c>
      <c r="E274" t="s">
        <v>26</v>
      </c>
      <c r="F274" t="s">
        <v>27</v>
      </c>
      <c r="G274" t="s">
        <v>398</v>
      </c>
      <c r="H274" t="s">
        <v>280</v>
      </c>
      <c r="I274" t="s">
        <v>30</v>
      </c>
      <c r="J274" t="s">
        <v>31</v>
      </c>
      <c r="L274">
        <v>60</v>
      </c>
      <c r="M274">
        <v>20</v>
      </c>
      <c r="N274">
        <v>-0.5</v>
      </c>
      <c r="O274">
        <f t="shared" si="20"/>
        <v>0.727247333047954</v>
      </c>
      <c r="P274">
        <v>1</v>
      </c>
      <c r="Q274">
        <v>0</v>
      </c>
      <c r="R274">
        <f t="shared" si="21"/>
        <v>333.15</v>
      </c>
      <c r="U274">
        <v>0.001987</v>
      </c>
      <c r="V274">
        <f t="shared" si="22"/>
        <v>1.5</v>
      </c>
      <c r="W274">
        <f t="shared" si="23"/>
        <v>0.5</v>
      </c>
      <c r="X274">
        <f t="shared" si="24"/>
        <v>0.333333333333333</v>
      </c>
      <c r="Y274">
        <v>273.15</v>
      </c>
    </row>
    <row r="275" spans="1:25">
      <c r="A275" t="s">
        <v>399</v>
      </c>
      <c r="B275" t="s">
        <v>397</v>
      </c>
      <c r="C275" t="s">
        <v>278</v>
      </c>
      <c r="D275" t="s">
        <v>33</v>
      </c>
      <c r="E275" t="s">
        <v>34</v>
      </c>
      <c r="F275" t="s">
        <v>35</v>
      </c>
      <c r="G275" t="s">
        <v>398</v>
      </c>
      <c r="H275" t="s">
        <v>280</v>
      </c>
      <c r="I275" t="s">
        <v>36</v>
      </c>
      <c r="J275" t="s">
        <v>37</v>
      </c>
      <c r="L275">
        <v>60</v>
      </c>
      <c r="M275">
        <v>20</v>
      </c>
      <c r="N275">
        <v>-0.5</v>
      </c>
      <c r="O275">
        <f t="shared" si="20"/>
        <v>0.727247333047954</v>
      </c>
      <c r="P275">
        <v>1</v>
      </c>
      <c r="Q275">
        <v>0</v>
      </c>
      <c r="R275">
        <f t="shared" si="21"/>
        <v>333.15</v>
      </c>
      <c r="U275">
        <v>0.001987</v>
      </c>
      <c r="V275">
        <f t="shared" si="22"/>
        <v>1.5</v>
      </c>
      <c r="W275">
        <f t="shared" si="23"/>
        <v>0.5</v>
      </c>
      <c r="X275">
        <f t="shared" si="24"/>
        <v>0.333333333333333</v>
      </c>
      <c r="Y275">
        <v>273.15</v>
      </c>
    </row>
    <row r="276" spans="1:25">
      <c r="A276" t="s">
        <v>400</v>
      </c>
      <c r="B276" t="s">
        <v>397</v>
      </c>
      <c r="C276" t="s">
        <v>278</v>
      </c>
      <c r="D276" t="s">
        <v>39</v>
      </c>
      <c r="E276" t="s">
        <v>40</v>
      </c>
      <c r="F276" t="s">
        <v>41</v>
      </c>
      <c r="G276" t="s">
        <v>398</v>
      </c>
      <c r="H276" t="s">
        <v>280</v>
      </c>
      <c r="I276" t="s">
        <v>42</v>
      </c>
      <c r="J276" t="s">
        <v>43</v>
      </c>
      <c r="L276">
        <v>60</v>
      </c>
      <c r="M276">
        <v>20</v>
      </c>
      <c r="N276">
        <v>0.92</v>
      </c>
      <c r="O276">
        <f t="shared" si="20"/>
        <v>-2.10377327492429</v>
      </c>
      <c r="P276">
        <v>1</v>
      </c>
      <c r="Q276">
        <v>0</v>
      </c>
      <c r="R276">
        <f t="shared" si="21"/>
        <v>333.15</v>
      </c>
      <c r="U276">
        <v>0.001987</v>
      </c>
      <c r="V276">
        <f t="shared" si="22"/>
        <v>0.08</v>
      </c>
      <c r="W276">
        <f t="shared" si="23"/>
        <v>1.92</v>
      </c>
      <c r="X276">
        <f t="shared" si="24"/>
        <v>24</v>
      </c>
      <c r="Y276">
        <v>273.15</v>
      </c>
    </row>
    <row r="277" spans="1:25">
      <c r="A277" t="s">
        <v>401</v>
      </c>
      <c r="B277" t="s">
        <v>397</v>
      </c>
      <c r="C277" t="s">
        <v>278</v>
      </c>
      <c r="D277" t="s">
        <v>45</v>
      </c>
      <c r="E277" t="s">
        <v>46</v>
      </c>
      <c r="F277" t="s">
        <v>47</v>
      </c>
      <c r="G277" t="s">
        <v>398</v>
      </c>
      <c r="H277" t="s">
        <v>280</v>
      </c>
      <c r="I277" t="s">
        <v>48</v>
      </c>
      <c r="J277" t="s">
        <v>49</v>
      </c>
      <c r="L277">
        <v>60</v>
      </c>
      <c r="M277">
        <v>20</v>
      </c>
      <c r="N277">
        <v>0.91</v>
      </c>
      <c r="O277">
        <f t="shared" si="20"/>
        <v>-2.02234778540836</v>
      </c>
      <c r="P277">
        <v>1</v>
      </c>
      <c r="Q277">
        <v>0</v>
      </c>
      <c r="R277">
        <f t="shared" si="21"/>
        <v>333.15</v>
      </c>
      <c r="U277">
        <v>0.001987</v>
      </c>
      <c r="V277">
        <f t="shared" si="22"/>
        <v>0.09</v>
      </c>
      <c r="W277">
        <f t="shared" si="23"/>
        <v>1.91</v>
      </c>
      <c r="X277">
        <f t="shared" si="24"/>
        <v>21.2222222222222</v>
      </c>
      <c r="Y277">
        <v>273.15</v>
      </c>
    </row>
    <row r="278" spans="1:25">
      <c r="A278" t="s">
        <v>402</v>
      </c>
      <c r="B278" t="s">
        <v>397</v>
      </c>
      <c r="C278" t="s">
        <v>371</v>
      </c>
      <c r="D278" t="s">
        <v>25</v>
      </c>
      <c r="E278" t="s">
        <v>26</v>
      </c>
      <c r="F278" t="s">
        <v>27</v>
      </c>
      <c r="G278" t="s">
        <v>398</v>
      </c>
      <c r="H278" t="s">
        <v>372</v>
      </c>
      <c r="I278" t="s">
        <v>30</v>
      </c>
      <c r="J278" t="s">
        <v>31</v>
      </c>
      <c r="L278">
        <v>60</v>
      </c>
      <c r="M278">
        <v>20</v>
      </c>
      <c r="N278">
        <v>-0.44</v>
      </c>
      <c r="O278">
        <f t="shared" si="20"/>
        <v>0.62520435396585</v>
      </c>
      <c r="P278">
        <v>1</v>
      </c>
      <c r="Q278">
        <v>0</v>
      </c>
      <c r="R278">
        <f t="shared" si="21"/>
        <v>333.15</v>
      </c>
      <c r="U278">
        <v>0.001987</v>
      </c>
      <c r="V278">
        <f t="shared" si="22"/>
        <v>1.44</v>
      </c>
      <c r="W278">
        <f t="shared" si="23"/>
        <v>0.56</v>
      </c>
      <c r="X278">
        <f t="shared" si="24"/>
        <v>0.388888888888889</v>
      </c>
      <c r="Y278">
        <v>273.15</v>
      </c>
    </row>
    <row r="279" spans="1:25">
      <c r="A279" t="s">
        <v>403</v>
      </c>
      <c r="B279" t="s">
        <v>397</v>
      </c>
      <c r="C279" t="s">
        <v>371</v>
      </c>
      <c r="D279" t="s">
        <v>33</v>
      </c>
      <c r="E279" t="s">
        <v>34</v>
      </c>
      <c r="F279" t="s">
        <v>35</v>
      </c>
      <c r="G279" t="s">
        <v>398</v>
      </c>
      <c r="H279" t="s">
        <v>372</v>
      </c>
      <c r="I279" t="s">
        <v>36</v>
      </c>
      <c r="J279" t="s">
        <v>37</v>
      </c>
      <c r="L279">
        <v>60</v>
      </c>
      <c r="M279">
        <v>20</v>
      </c>
      <c r="N279">
        <v>-0.43</v>
      </c>
      <c r="O279">
        <f t="shared" si="20"/>
        <v>0.608874738321019</v>
      </c>
      <c r="P279">
        <v>1</v>
      </c>
      <c r="Q279">
        <v>0</v>
      </c>
      <c r="R279">
        <f t="shared" si="21"/>
        <v>333.15</v>
      </c>
      <c r="U279">
        <v>0.001987</v>
      </c>
      <c r="V279">
        <f t="shared" si="22"/>
        <v>1.43</v>
      </c>
      <c r="W279">
        <f t="shared" si="23"/>
        <v>0.57</v>
      </c>
      <c r="X279">
        <f t="shared" si="24"/>
        <v>0.398601398601399</v>
      </c>
      <c r="Y279">
        <v>273.15</v>
      </c>
    </row>
    <row r="280" spans="1:25">
      <c r="A280" t="s">
        <v>404</v>
      </c>
      <c r="B280" t="s">
        <v>397</v>
      </c>
      <c r="C280" t="s">
        <v>371</v>
      </c>
      <c r="D280" t="s">
        <v>39</v>
      </c>
      <c r="E280" t="s">
        <v>40</v>
      </c>
      <c r="F280" t="s">
        <v>41</v>
      </c>
      <c r="G280" t="s">
        <v>398</v>
      </c>
      <c r="H280" t="s">
        <v>372</v>
      </c>
      <c r="I280" t="s">
        <v>42</v>
      </c>
      <c r="J280" t="s">
        <v>43</v>
      </c>
      <c r="L280">
        <v>60</v>
      </c>
      <c r="M280">
        <v>20</v>
      </c>
      <c r="N280">
        <v>0.89</v>
      </c>
      <c r="O280">
        <f t="shared" si="20"/>
        <v>-1.88254183616554</v>
      </c>
      <c r="P280">
        <v>1</v>
      </c>
      <c r="Q280">
        <v>0</v>
      </c>
      <c r="R280">
        <f t="shared" si="21"/>
        <v>333.15</v>
      </c>
      <c r="U280">
        <v>0.001987</v>
      </c>
      <c r="V280">
        <f t="shared" si="22"/>
        <v>0.11</v>
      </c>
      <c r="W280">
        <f t="shared" si="23"/>
        <v>1.89</v>
      </c>
      <c r="X280">
        <f t="shared" si="24"/>
        <v>17.1818181818182</v>
      </c>
      <c r="Y280">
        <v>273.15</v>
      </c>
    </row>
    <row r="281" spans="1:25">
      <c r="A281" t="s">
        <v>405</v>
      </c>
      <c r="B281" t="s">
        <v>397</v>
      </c>
      <c r="C281" t="s">
        <v>371</v>
      </c>
      <c r="D281" t="s">
        <v>45</v>
      </c>
      <c r="E281" t="s">
        <v>46</v>
      </c>
      <c r="F281" t="s">
        <v>47</v>
      </c>
      <c r="G281" t="s">
        <v>398</v>
      </c>
      <c r="H281" t="s">
        <v>372</v>
      </c>
      <c r="I281" t="s">
        <v>48</v>
      </c>
      <c r="J281" t="s">
        <v>49</v>
      </c>
      <c r="L281">
        <v>60</v>
      </c>
      <c r="M281">
        <v>20</v>
      </c>
      <c r="N281">
        <v>0.84</v>
      </c>
      <c r="O281">
        <f t="shared" si="20"/>
        <v>-1.61675814677367</v>
      </c>
      <c r="P281">
        <v>1</v>
      </c>
      <c r="Q281">
        <v>0</v>
      </c>
      <c r="R281">
        <f t="shared" si="21"/>
        <v>333.15</v>
      </c>
      <c r="U281">
        <v>0.001987</v>
      </c>
      <c r="V281">
        <f t="shared" si="22"/>
        <v>0.16</v>
      </c>
      <c r="W281">
        <f t="shared" si="23"/>
        <v>1.84</v>
      </c>
      <c r="X281">
        <f t="shared" si="24"/>
        <v>11.5</v>
      </c>
      <c r="Y281">
        <v>273.15</v>
      </c>
    </row>
    <row r="282" spans="1:25">
      <c r="A282" t="s">
        <v>406</v>
      </c>
      <c r="B282" t="s">
        <v>397</v>
      </c>
      <c r="C282" t="s">
        <v>377</v>
      </c>
      <c r="D282" t="s">
        <v>25</v>
      </c>
      <c r="E282" t="s">
        <v>26</v>
      </c>
      <c r="F282" t="s">
        <v>27</v>
      </c>
      <c r="G282" t="s">
        <v>398</v>
      </c>
      <c r="H282" t="s">
        <v>378</v>
      </c>
      <c r="I282" t="s">
        <v>30</v>
      </c>
      <c r="J282" t="s">
        <v>31</v>
      </c>
      <c r="L282">
        <v>60</v>
      </c>
      <c r="M282">
        <v>5</v>
      </c>
      <c r="N282">
        <v>-0.65</v>
      </c>
      <c r="O282">
        <f t="shared" si="20"/>
        <v>1.02644749602628</v>
      </c>
      <c r="P282">
        <v>1</v>
      </c>
      <c r="Q282">
        <v>0</v>
      </c>
      <c r="R282">
        <f t="shared" si="21"/>
        <v>333.15</v>
      </c>
      <c r="U282">
        <v>0.001987</v>
      </c>
      <c r="V282">
        <f t="shared" si="22"/>
        <v>1.65</v>
      </c>
      <c r="W282">
        <f t="shared" si="23"/>
        <v>0.35</v>
      </c>
      <c r="X282">
        <f t="shared" si="24"/>
        <v>0.212121212121212</v>
      </c>
      <c r="Y282">
        <v>273.15</v>
      </c>
    </row>
    <row r="283" spans="1:25">
      <c r="A283" t="s">
        <v>407</v>
      </c>
      <c r="B283" t="s">
        <v>397</v>
      </c>
      <c r="C283" t="s">
        <v>377</v>
      </c>
      <c r="D283" t="s">
        <v>33</v>
      </c>
      <c r="E283" t="s">
        <v>34</v>
      </c>
      <c r="F283" t="s">
        <v>35</v>
      </c>
      <c r="G283" t="s">
        <v>398</v>
      </c>
      <c r="H283" t="s">
        <v>378</v>
      </c>
      <c r="I283" t="s">
        <v>36</v>
      </c>
      <c r="J283" t="s">
        <v>37</v>
      </c>
      <c r="L283">
        <v>60</v>
      </c>
      <c r="M283">
        <v>5</v>
      </c>
      <c r="N283">
        <v>-0.59</v>
      </c>
      <c r="O283">
        <f t="shared" si="20"/>
        <v>0.897187926181947</v>
      </c>
      <c r="P283">
        <v>1</v>
      </c>
      <c r="Q283">
        <v>0</v>
      </c>
      <c r="R283">
        <f t="shared" si="21"/>
        <v>333.15</v>
      </c>
      <c r="U283">
        <v>0.001987</v>
      </c>
      <c r="V283">
        <f t="shared" si="22"/>
        <v>1.59</v>
      </c>
      <c r="W283">
        <f t="shared" si="23"/>
        <v>0.41</v>
      </c>
      <c r="X283">
        <f t="shared" si="24"/>
        <v>0.257861635220126</v>
      </c>
      <c r="Y283">
        <v>273.15</v>
      </c>
    </row>
    <row r="284" spans="1:25">
      <c r="A284" t="s">
        <v>408</v>
      </c>
      <c r="B284" t="s">
        <v>397</v>
      </c>
      <c r="C284" t="s">
        <v>377</v>
      </c>
      <c r="D284" t="s">
        <v>39</v>
      </c>
      <c r="E284" t="s">
        <v>40</v>
      </c>
      <c r="F284" t="s">
        <v>41</v>
      </c>
      <c r="G284" t="s">
        <v>398</v>
      </c>
      <c r="H284" t="s">
        <v>378</v>
      </c>
      <c r="I284" t="s">
        <v>42</v>
      </c>
      <c r="J284" t="s">
        <v>43</v>
      </c>
      <c r="L284">
        <v>60</v>
      </c>
      <c r="M284">
        <v>5</v>
      </c>
      <c r="N284">
        <v>0.85</v>
      </c>
      <c r="O284">
        <f t="shared" si="20"/>
        <v>-1.66306856721313</v>
      </c>
      <c r="P284">
        <v>1</v>
      </c>
      <c r="Q284">
        <v>0</v>
      </c>
      <c r="R284">
        <f t="shared" si="21"/>
        <v>333.15</v>
      </c>
      <c r="U284">
        <v>0.001987</v>
      </c>
      <c r="V284">
        <f t="shared" si="22"/>
        <v>0.15</v>
      </c>
      <c r="W284">
        <f t="shared" si="23"/>
        <v>1.85</v>
      </c>
      <c r="X284">
        <f t="shared" si="24"/>
        <v>12.3333333333333</v>
      </c>
      <c r="Y284">
        <v>273.15</v>
      </c>
    </row>
    <row r="285" spans="1:25">
      <c r="A285" t="s">
        <v>409</v>
      </c>
      <c r="B285" t="s">
        <v>397</v>
      </c>
      <c r="C285" t="s">
        <v>377</v>
      </c>
      <c r="D285" t="s">
        <v>45</v>
      </c>
      <c r="E285" t="s">
        <v>46</v>
      </c>
      <c r="F285" t="s">
        <v>47</v>
      </c>
      <c r="G285" t="s">
        <v>398</v>
      </c>
      <c r="H285" t="s">
        <v>378</v>
      </c>
      <c r="I285" t="s">
        <v>48</v>
      </c>
      <c r="J285" t="s">
        <v>49</v>
      </c>
      <c r="L285">
        <v>60</v>
      </c>
      <c r="M285">
        <v>5</v>
      </c>
      <c r="N285">
        <v>0.84</v>
      </c>
      <c r="O285">
        <f t="shared" si="20"/>
        <v>-1.61675814677367</v>
      </c>
      <c r="P285">
        <v>1</v>
      </c>
      <c r="Q285">
        <v>0</v>
      </c>
      <c r="R285">
        <f t="shared" si="21"/>
        <v>333.15</v>
      </c>
      <c r="U285">
        <v>0.001987</v>
      </c>
      <c r="V285">
        <f t="shared" si="22"/>
        <v>0.16</v>
      </c>
      <c r="W285">
        <f t="shared" si="23"/>
        <v>1.84</v>
      </c>
      <c r="X285">
        <f t="shared" si="24"/>
        <v>11.5</v>
      </c>
      <c r="Y285">
        <v>273.15</v>
      </c>
    </row>
    <row r="286" spans="1:25">
      <c r="A286" t="s">
        <v>410</v>
      </c>
      <c r="B286" t="s">
        <v>397</v>
      </c>
      <c r="C286" t="s">
        <v>377</v>
      </c>
      <c r="D286" t="s">
        <v>25</v>
      </c>
      <c r="E286" t="s">
        <v>26</v>
      </c>
      <c r="F286" t="s">
        <v>27</v>
      </c>
      <c r="G286" t="s">
        <v>398</v>
      </c>
      <c r="H286" t="s">
        <v>378</v>
      </c>
      <c r="I286" t="s">
        <v>30</v>
      </c>
      <c r="J286" t="s">
        <v>31</v>
      </c>
      <c r="L286">
        <v>60</v>
      </c>
      <c r="M286">
        <v>50</v>
      </c>
      <c r="N286">
        <v>-0.66</v>
      </c>
      <c r="O286">
        <f t="shared" si="20"/>
        <v>1.04963617343232</v>
      </c>
      <c r="P286">
        <v>1</v>
      </c>
      <c r="Q286">
        <v>0</v>
      </c>
      <c r="R286">
        <f t="shared" si="21"/>
        <v>333.15</v>
      </c>
      <c r="U286">
        <v>0.001987</v>
      </c>
      <c r="V286">
        <f t="shared" si="22"/>
        <v>1.66</v>
      </c>
      <c r="W286">
        <f t="shared" si="23"/>
        <v>0.34</v>
      </c>
      <c r="X286">
        <f t="shared" si="24"/>
        <v>0.204819277108434</v>
      </c>
      <c r="Y286">
        <v>273.15</v>
      </c>
    </row>
    <row r="287" spans="1:25">
      <c r="A287" t="s">
        <v>411</v>
      </c>
      <c r="B287" t="s">
        <v>397</v>
      </c>
      <c r="C287" t="s">
        <v>377</v>
      </c>
      <c r="D287" t="s">
        <v>33</v>
      </c>
      <c r="E287" t="s">
        <v>34</v>
      </c>
      <c r="F287" t="s">
        <v>35</v>
      </c>
      <c r="G287" t="s">
        <v>398</v>
      </c>
      <c r="H287" t="s">
        <v>378</v>
      </c>
      <c r="I287" t="s">
        <v>36</v>
      </c>
      <c r="J287" t="s">
        <v>37</v>
      </c>
      <c r="L287">
        <v>60</v>
      </c>
      <c r="M287">
        <v>50</v>
      </c>
      <c r="N287">
        <v>0.6</v>
      </c>
      <c r="O287">
        <f t="shared" si="20"/>
        <v>-0.917683961250891</v>
      </c>
      <c r="P287">
        <v>1</v>
      </c>
      <c r="Q287">
        <v>0</v>
      </c>
      <c r="R287">
        <f t="shared" si="21"/>
        <v>333.15</v>
      </c>
      <c r="U287">
        <v>0.001987</v>
      </c>
      <c r="V287">
        <f t="shared" si="22"/>
        <v>0.4</v>
      </c>
      <c r="W287">
        <f t="shared" si="23"/>
        <v>1.6</v>
      </c>
      <c r="X287">
        <f t="shared" si="24"/>
        <v>4</v>
      </c>
      <c r="Y287">
        <v>273.15</v>
      </c>
    </row>
    <row r="288" spans="1:25">
      <c r="A288" t="s">
        <v>412</v>
      </c>
      <c r="B288" t="s">
        <v>397</v>
      </c>
      <c r="C288" t="s">
        <v>377</v>
      </c>
      <c r="D288" t="s">
        <v>39</v>
      </c>
      <c r="E288" t="s">
        <v>40</v>
      </c>
      <c r="F288" t="s">
        <v>41</v>
      </c>
      <c r="G288" t="s">
        <v>398</v>
      </c>
      <c r="H288" t="s">
        <v>378</v>
      </c>
      <c r="I288" t="s">
        <v>42</v>
      </c>
      <c r="J288" t="s">
        <v>43</v>
      </c>
      <c r="L288">
        <v>60</v>
      </c>
      <c r="M288">
        <v>50</v>
      </c>
      <c r="N288">
        <v>0.9</v>
      </c>
      <c r="O288">
        <f t="shared" si="20"/>
        <v>-1.94912747382178</v>
      </c>
      <c r="P288">
        <v>1</v>
      </c>
      <c r="Q288">
        <v>0</v>
      </c>
      <c r="R288">
        <f t="shared" si="21"/>
        <v>333.15</v>
      </c>
      <c r="U288">
        <v>0.001987</v>
      </c>
      <c r="V288">
        <f t="shared" si="22"/>
        <v>0.1</v>
      </c>
      <c r="W288">
        <f t="shared" si="23"/>
        <v>1.9</v>
      </c>
      <c r="X288">
        <f t="shared" si="24"/>
        <v>19</v>
      </c>
      <c r="Y288">
        <v>273.15</v>
      </c>
    </row>
    <row r="289" spans="1:25">
      <c r="A289" t="s">
        <v>413</v>
      </c>
      <c r="B289" t="s">
        <v>397</v>
      </c>
      <c r="C289" t="s">
        <v>377</v>
      </c>
      <c r="D289" t="s">
        <v>45</v>
      </c>
      <c r="E289" t="s">
        <v>46</v>
      </c>
      <c r="F289" t="s">
        <v>47</v>
      </c>
      <c r="G289" t="s">
        <v>398</v>
      </c>
      <c r="H289" t="s">
        <v>378</v>
      </c>
      <c r="I289" t="s">
        <v>48</v>
      </c>
      <c r="J289" t="s">
        <v>49</v>
      </c>
      <c r="L289">
        <v>60</v>
      </c>
      <c r="M289">
        <v>50</v>
      </c>
      <c r="N289">
        <v>0.89</v>
      </c>
      <c r="O289">
        <f t="shared" si="20"/>
        <v>-1.88254183616554</v>
      </c>
      <c r="P289">
        <v>1</v>
      </c>
      <c r="Q289">
        <v>0</v>
      </c>
      <c r="R289">
        <f t="shared" si="21"/>
        <v>333.15</v>
      </c>
      <c r="U289">
        <v>0.001987</v>
      </c>
      <c r="V289">
        <f t="shared" si="22"/>
        <v>0.11</v>
      </c>
      <c r="W289">
        <f t="shared" si="23"/>
        <v>1.89</v>
      </c>
      <c r="X289">
        <f t="shared" si="24"/>
        <v>17.1818181818182</v>
      </c>
      <c r="Y289">
        <v>273.15</v>
      </c>
    </row>
    <row r="290" spans="1:25">
      <c r="A290" t="s">
        <v>414</v>
      </c>
      <c r="B290" t="s">
        <v>397</v>
      </c>
      <c r="C290" t="s">
        <v>377</v>
      </c>
      <c r="D290" t="s">
        <v>25</v>
      </c>
      <c r="E290" t="s">
        <v>26</v>
      </c>
      <c r="F290" t="s">
        <v>27</v>
      </c>
      <c r="G290" t="s">
        <v>398</v>
      </c>
      <c r="H290" t="s">
        <v>378</v>
      </c>
      <c r="I290" t="s">
        <v>30</v>
      </c>
      <c r="J290" t="s">
        <v>31</v>
      </c>
      <c r="L290">
        <v>60</v>
      </c>
      <c r="M290">
        <v>20</v>
      </c>
      <c r="N290">
        <v>-0.72</v>
      </c>
      <c r="O290">
        <f t="shared" si="20"/>
        <v>1.20166577469005</v>
      </c>
      <c r="P290">
        <v>1</v>
      </c>
      <c r="Q290">
        <v>0</v>
      </c>
      <c r="R290">
        <f t="shared" si="21"/>
        <v>333.15</v>
      </c>
      <c r="U290">
        <v>0.001987</v>
      </c>
      <c r="V290">
        <f t="shared" si="22"/>
        <v>1.72</v>
      </c>
      <c r="W290">
        <f t="shared" si="23"/>
        <v>0.28</v>
      </c>
      <c r="X290">
        <f t="shared" si="24"/>
        <v>0.162790697674419</v>
      </c>
      <c r="Y290">
        <v>273.15</v>
      </c>
    </row>
    <row r="291" spans="1:25">
      <c r="A291" t="s">
        <v>415</v>
      </c>
      <c r="B291" t="s">
        <v>397</v>
      </c>
      <c r="C291" t="s">
        <v>377</v>
      </c>
      <c r="D291" t="s">
        <v>33</v>
      </c>
      <c r="E291" t="s">
        <v>34</v>
      </c>
      <c r="F291" t="s">
        <v>35</v>
      </c>
      <c r="G291" t="s">
        <v>398</v>
      </c>
      <c r="H291" t="s">
        <v>378</v>
      </c>
      <c r="I291" t="s">
        <v>36</v>
      </c>
      <c r="J291" t="s">
        <v>37</v>
      </c>
      <c r="L291">
        <v>60</v>
      </c>
      <c r="M291">
        <v>20</v>
      </c>
      <c r="N291">
        <v>-0.65</v>
      </c>
      <c r="O291">
        <f t="shared" si="20"/>
        <v>1.02644749602628</v>
      </c>
      <c r="P291">
        <v>1</v>
      </c>
      <c r="Q291">
        <v>0</v>
      </c>
      <c r="R291">
        <f t="shared" si="21"/>
        <v>333.15</v>
      </c>
      <c r="U291">
        <v>0.001987</v>
      </c>
      <c r="V291">
        <f t="shared" si="22"/>
        <v>1.65</v>
      </c>
      <c r="W291">
        <f t="shared" si="23"/>
        <v>0.35</v>
      </c>
      <c r="X291">
        <f t="shared" si="24"/>
        <v>0.212121212121212</v>
      </c>
      <c r="Y291">
        <v>273.15</v>
      </c>
    </row>
    <row r="292" spans="1:25">
      <c r="A292" t="s">
        <v>416</v>
      </c>
      <c r="B292" t="s">
        <v>397</v>
      </c>
      <c r="C292" t="s">
        <v>377</v>
      </c>
      <c r="D292" t="s">
        <v>39</v>
      </c>
      <c r="E292" t="s">
        <v>40</v>
      </c>
      <c r="F292" t="s">
        <v>41</v>
      </c>
      <c r="G292" t="s">
        <v>398</v>
      </c>
      <c r="H292" t="s">
        <v>378</v>
      </c>
      <c r="I292" t="s">
        <v>42</v>
      </c>
      <c r="J292" t="s">
        <v>43</v>
      </c>
      <c r="L292">
        <v>60</v>
      </c>
      <c r="M292">
        <v>20</v>
      </c>
      <c r="N292">
        <v>0.92</v>
      </c>
      <c r="O292">
        <f t="shared" si="20"/>
        <v>-2.10377327492429</v>
      </c>
      <c r="P292">
        <v>1</v>
      </c>
      <c r="Q292">
        <v>0</v>
      </c>
      <c r="R292">
        <f t="shared" si="21"/>
        <v>333.15</v>
      </c>
      <c r="U292">
        <v>0.001987</v>
      </c>
      <c r="V292">
        <f t="shared" si="22"/>
        <v>0.08</v>
      </c>
      <c r="W292">
        <f t="shared" si="23"/>
        <v>1.92</v>
      </c>
      <c r="X292">
        <f t="shared" si="24"/>
        <v>24</v>
      </c>
      <c r="Y292">
        <v>273.15</v>
      </c>
    </row>
    <row r="293" spans="1:25">
      <c r="A293" t="s">
        <v>417</v>
      </c>
      <c r="B293" t="s">
        <v>397</v>
      </c>
      <c r="C293" t="s">
        <v>377</v>
      </c>
      <c r="D293" t="s">
        <v>45</v>
      </c>
      <c r="E293" t="s">
        <v>46</v>
      </c>
      <c r="F293" t="s">
        <v>47</v>
      </c>
      <c r="G293" t="s">
        <v>398</v>
      </c>
      <c r="H293" t="s">
        <v>378</v>
      </c>
      <c r="I293" t="s">
        <v>48</v>
      </c>
      <c r="J293" t="s">
        <v>49</v>
      </c>
      <c r="L293">
        <v>60</v>
      </c>
      <c r="M293">
        <v>20</v>
      </c>
      <c r="N293">
        <v>0.9</v>
      </c>
      <c r="O293">
        <f t="shared" si="20"/>
        <v>-1.94912747382178</v>
      </c>
      <c r="P293">
        <v>1</v>
      </c>
      <c r="Q293">
        <v>0</v>
      </c>
      <c r="R293">
        <f t="shared" si="21"/>
        <v>333.15</v>
      </c>
      <c r="U293">
        <v>0.001987</v>
      </c>
      <c r="V293">
        <f t="shared" si="22"/>
        <v>0.1</v>
      </c>
      <c r="W293">
        <f t="shared" si="23"/>
        <v>1.9</v>
      </c>
      <c r="X293">
        <f t="shared" si="24"/>
        <v>19</v>
      </c>
      <c r="Y293">
        <v>273.15</v>
      </c>
    </row>
    <row r="294" spans="1:25">
      <c r="A294" t="s">
        <v>418</v>
      </c>
      <c r="B294" t="s">
        <v>397</v>
      </c>
      <c r="C294" t="s">
        <v>391</v>
      </c>
      <c r="D294" t="s">
        <v>25</v>
      </c>
      <c r="E294" t="s">
        <v>26</v>
      </c>
      <c r="F294" t="s">
        <v>27</v>
      </c>
      <c r="G294" t="s">
        <v>398</v>
      </c>
      <c r="H294" t="s">
        <v>392</v>
      </c>
      <c r="I294" t="s">
        <v>30</v>
      </c>
      <c r="J294" t="s">
        <v>31</v>
      </c>
      <c r="L294">
        <v>60</v>
      </c>
      <c r="M294">
        <v>20</v>
      </c>
      <c r="N294">
        <v>-0.43</v>
      </c>
      <c r="O294">
        <f t="shared" si="20"/>
        <v>0.608874738321019</v>
      </c>
      <c r="P294">
        <v>1</v>
      </c>
      <c r="Q294">
        <v>0</v>
      </c>
      <c r="R294">
        <f t="shared" si="21"/>
        <v>333.15</v>
      </c>
      <c r="U294">
        <v>0.001987</v>
      </c>
      <c r="V294">
        <f t="shared" si="22"/>
        <v>1.43</v>
      </c>
      <c r="W294">
        <f t="shared" si="23"/>
        <v>0.57</v>
      </c>
      <c r="X294">
        <f t="shared" si="24"/>
        <v>0.398601398601399</v>
      </c>
      <c r="Y294">
        <v>273.15</v>
      </c>
    </row>
    <row r="295" spans="1:25">
      <c r="A295" t="s">
        <v>419</v>
      </c>
      <c r="B295" t="s">
        <v>397</v>
      </c>
      <c r="C295" t="s">
        <v>391</v>
      </c>
      <c r="D295" t="s">
        <v>33</v>
      </c>
      <c r="E295" t="s">
        <v>34</v>
      </c>
      <c r="F295" t="s">
        <v>35</v>
      </c>
      <c r="G295" t="s">
        <v>398</v>
      </c>
      <c r="H295" t="s">
        <v>392</v>
      </c>
      <c r="I295" t="s">
        <v>36</v>
      </c>
      <c r="J295" t="s">
        <v>37</v>
      </c>
      <c r="L295">
        <v>60</v>
      </c>
      <c r="M295">
        <v>20</v>
      </c>
      <c r="N295">
        <v>-0.39</v>
      </c>
      <c r="O295">
        <f t="shared" si="20"/>
        <v>0.545197755227652</v>
      </c>
      <c r="P295">
        <v>1</v>
      </c>
      <c r="Q295">
        <v>0</v>
      </c>
      <c r="R295">
        <f t="shared" si="21"/>
        <v>333.15</v>
      </c>
      <c r="U295">
        <v>0.001987</v>
      </c>
      <c r="V295">
        <f t="shared" si="22"/>
        <v>1.39</v>
      </c>
      <c r="W295">
        <f t="shared" si="23"/>
        <v>0.61</v>
      </c>
      <c r="X295">
        <f t="shared" si="24"/>
        <v>0.438848920863309</v>
      </c>
      <c r="Y295">
        <v>273.15</v>
      </c>
    </row>
    <row r="296" spans="1:25">
      <c r="A296" t="s">
        <v>420</v>
      </c>
      <c r="B296" t="s">
        <v>397</v>
      </c>
      <c r="C296" t="s">
        <v>391</v>
      </c>
      <c r="D296" t="s">
        <v>39</v>
      </c>
      <c r="E296" t="s">
        <v>40</v>
      </c>
      <c r="F296" t="s">
        <v>41</v>
      </c>
      <c r="G296" t="s">
        <v>398</v>
      </c>
      <c r="H296" t="s">
        <v>392</v>
      </c>
      <c r="I296" t="s">
        <v>42</v>
      </c>
      <c r="J296" t="s">
        <v>43</v>
      </c>
      <c r="L296">
        <v>60</v>
      </c>
      <c r="M296">
        <v>20</v>
      </c>
      <c r="N296">
        <v>0.9</v>
      </c>
      <c r="O296">
        <f t="shared" si="20"/>
        <v>-1.94912747382178</v>
      </c>
      <c r="P296">
        <v>1</v>
      </c>
      <c r="Q296">
        <v>0</v>
      </c>
      <c r="R296">
        <f t="shared" si="21"/>
        <v>333.15</v>
      </c>
      <c r="U296">
        <v>0.001987</v>
      </c>
      <c r="V296">
        <f t="shared" si="22"/>
        <v>0.1</v>
      </c>
      <c r="W296">
        <f t="shared" si="23"/>
        <v>1.9</v>
      </c>
      <c r="X296">
        <f t="shared" si="24"/>
        <v>19</v>
      </c>
      <c r="Y296">
        <v>273.15</v>
      </c>
    </row>
    <row r="297" spans="1:25">
      <c r="A297" t="s">
        <v>421</v>
      </c>
      <c r="B297" t="s">
        <v>397</v>
      </c>
      <c r="C297" t="s">
        <v>391</v>
      </c>
      <c r="D297" t="s">
        <v>45</v>
      </c>
      <c r="E297" t="s">
        <v>46</v>
      </c>
      <c r="F297" t="s">
        <v>47</v>
      </c>
      <c r="G297" t="s">
        <v>398</v>
      </c>
      <c r="H297" t="s">
        <v>392</v>
      </c>
      <c r="I297" t="s">
        <v>48</v>
      </c>
      <c r="J297" t="s">
        <v>49</v>
      </c>
      <c r="L297">
        <v>60</v>
      </c>
      <c r="M297">
        <v>20</v>
      </c>
      <c r="N297">
        <v>0.91</v>
      </c>
      <c r="O297">
        <f t="shared" si="20"/>
        <v>-2.02234778540836</v>
      </c>
      <c r="P297">
        <v>1</v>
      </c>
      <c r="Q297">
        <v>0</v>
      </c>
      <c r="R297">
        <f t="shared" si="21"/>
        <v>333.15</v>
      </c>
      <c r="U297">
        <v>0.001987</v>
      </c>
      <c r="V297">
        <f t="shared" si="22"/>
        <v>0.09</v>
      </c>
      <c r="W297">
        <f t="shared" si="23"/>
        <v>1.91</v>
      </c>
      <c r="X297">
        <f t="shared" si="24"/>
        <v>21.2222222222222</v>
      </c>
      <c r="Y297">
        <v>273.15</v>
      </c>
    </row>
    <row r="298" spans="1:25">
      <c r="A298" t="s">
        <v>422</v>
      </c>
      <c r="B298" t="s">
        <v>423</v>
      </c>
      <c r="C298" t="s">
        <v>278</v>
      </c>
      <c r="D298" t="s">
        <v>25</v>
      </c>
      <c r="E298" t="s">
        <v>26</v>
      </c>
      <c r="F298" t="s">
        <v>27</v>
      </c>
      <c r="G298" t="s">
        <v>424</v>
      </c>
      <c r="H298" t="s">
        <v>280</v>
      </c>
      <c r="I298" t="s">
        <v>30</v>
      </c>
      <c r="J298" t="s">
        <v>31</v>
      </c>
      <c r="L298">
        <v>60</v>
      </c>
      <c r="M298">
        <v>20</v>
      </c>
      <c r="N298">
        <v>-0.64</v>
      </c>
      <c r="O298">
        <f t="shared" si="20"/>
        <v>1.00377510700688</v>
      </c>
      <c r="P298">
        <v>1</v>
      </c>
      <c r="Q298">
        <v>0</v>
      </c>
      <c r="R298">
        <f t="shared" si="21"/>
        <v>333.15</v>
      </c>
      <c r="U298">
        <v>0.001987</v>
      </c>
      <c r="V298">
        <f t="shared" si="22"/>
        <v>1.64</v>
      </c>
      <c r="W298">
        <f t="shared" si="23"/>
        <v>0.36</v>
      </c>
      <c r="X298">
        <f t="shared" si="24"/>
        <v>0.219512195121951</v>
      </c>
      <c r="Y298">
        <v>273.15</v>
      </c>
    </row>
    <row r="299" spans="1:25">
      <c r="A299" t="s">
        <v>425</v>
      </c>
      <c r="B299" t="s">
        <v>423</v>
      </c>
      <c r="C299" t="s">
        <v>278</v>
      </c>
      <c r="D299" t="s">
        <v>33</v>
      </c>
      <c r="E299" t="s">
        <v>34</v>
      </c>
      <c r="F299" t="s">
        <v>35</v>
      </c>
      <c r="G299" t="s">
        <v>424</v>
      </c>
      <c r="H299" t="s">
        <v>280</v>
      </c>
      <c r="I299" t="s">
        <v>36</v>
      </c>
      <c r="J299" t="s">
        <v>37</v>
      </c>
      <c r="L299">
        <v>60</v>
      </c>
      <c r="M299">
        <v>20</v>
      </c>
      <c r="N299">
        <v>-0.63</v>
      </c>
      <c r="O299">
        <f t="shared" si="20"/>
        <v>0.981589081104281</v>
      </c>
      <c r="P299">
        <v>1</v>
      </c>
      <c r="Q299">
        <v>0</v>
      </c>
      <c r="R299">
        <f t="shared" si="21"/>
        <v>333.15</v>
      </c>
      <c r="U299">
        <v>0.001987</v>
      </c>
      <c r="V299">
        <f t="shared" si="22"/>
        <v>1.63</v>
      </c>
      <c r="W299">
        <f t="shared" si="23"/>
        <v>0.37</v>
      </c>
      <c r="X299">
        <f t="shared" si="24"/>
        <v>0.226993865030675</v>
      </c>
      <c r="Y299">
        <v>273.15</v>
      </c>
    </row>
    <row r="300" spans="1:25">
      <c r="A300" t="s">
        <v>426</v>
      </c>
      <c r="B300" t="s">
        <v>423</v>
      </c>
      <c r="C300" t="s">
        <v>278</v>
      </c>
      <c r="D300" t="s">
        <v>39</v>
      </c>
      <c r="E300" t="s">
        <v>40</v>
      </c>
      <c r="F300" t="s">
        <v>41</v>
      </c>
      <c r="G300" t="s">
        <v>424</v>
      </c>
      <c r="H300" t="s">
        <v>280</v>
      </c>
      <c r="I300" t="s">
        <v>42</v>
      </c>
      <c r="J300" t="s">
        <v>43</v>
      </c>
      <c r="L300">
        <v>60</v>
      </c>
      <c r="M300">
        <v>20</v>
      </c>
      <c r="N300">
        <v>0.25</v>
      </c>
      <c r="O300">
        <f t="shared" si="20"/>
        <v>-0.33815075288003</v>
      </c>
      <c r="P300">
        <v>1</v>
      </c>
      <c r="Q300">
        <v>0</v>
      </c>
      <c r="R300">
        <f t="shared" si="21"/>
        <v>333.15</v>
      </c>
      <c r="U300">
        <v>0.001987</v>
      </c>
      <c r="V300">
        <f t="shared" si="22"/>
        <v>0.75</v>
      </c>
      <c r="W300">
        <f t="shared" si="23"/>
        <v>1.25</v>
      </c>
      <c r="X300">
        <f t="shared" si="24"/>
        <v>1.66666666666667</v>
      </c>
      <c r="Y300">
        <v>273.15</v>
      </c>
    </row>
    <row r="301" spans="1:25">
      <c r="A301" t="s">
        <v>427</v>
      </c>
      <c r="B301" t="s">
        <v>423</v>
      </c>
      <c r="C301" t="s">
        <v>278</v>
      </c>
      <c r="D301" t="s">
        <v>45</v>
      </c>
      <c r="E301" t="s">
        <v>46</v>
      </c>
      <c r="F301" t="s">
        <v>47</v>
      </c>
      <c r="G301" t="s">
        <v>424</v>
      </c>
      <c r="H301" t="s">
        <v>280</v>
      </c>
      <c r="I301" t="s">
        <v>48</v>
      </c>
      <c r="J301" t="s">
        <v>49</v>
      </c>
      <c r="L301">
        <v>60</v>
      </c>
      <c r="M301">
        <v>20</v>
      </c>
      <c r="N301">
        <v>0.21</v>
      </c>
      <c r="O301">
        <f t="shared" si="20"/>
        <v>-0.282225667545522</v>
      </c>
      <c r="P301">
        <v>1</v>
      </c>
      <c r="Q301">
        <v>0</v>
      </c>
      <c r="R301">
        <f t="shared" si="21"/>
        <v>333.15</v>
      </c>
      <c r="U301">
        <v>0.001987</v>
      </c>
      <c r="V301">
        <f t="shared" si="22"/>
        <v>0.79</v>
      </c>
      <c r="W301">
        <f t="shared" si="23"/>
        <v>1.21</v>
      </c>
      <c r="X301">
        <f t="shared" si="24"/>
        <v>1.53164556962025</v>
      </c>
      <c r="Y301">
        <v>273.15</v>
      </c>
    </row>
    <row r="302" spans="1:25">
      <c r="A302" t="s">
        <v>428</v>
      </c>
      <c r="B302" t="s">
        <v>423</v>
      </c>
      <c r="C302" t="s">
        <v>371</v>
      </c>
      <c r="D302" t="s">
        <v>25</v>
      </c>
      <c r="E302" t="s">
        <v>26</v>
      </c>
      <c r="F302" t="s">
        <v>27</v>
      </c>
      <c r="G302" t="s">
        <v>424</v>
      </c>
      <c r="H302" t="s">
        <v>372</v>
      </c>
      <c r="I302" t="s">
        <v>30</v>
      </c>
      <c r="J302" t="s">
        <v>31</v>
      </c>
      <c r="L302">
        <v>60</v>
      </c>
      <c r="M302">
        <v>20</v>
      </c>
      <c r="N302">
        <v>-0.6</v>
      </c>
      <c r="O302">
        <f t="shared" si="20"/>
        <v>0.917683961250891</v>
      </c>
      <c r="P302">
        <v>1</v>
      </c>
      <c r="Q302">
        <v>0</v>
      </c>
      <c r="R302">
        <f t="shared" si="21"/>
        <v>333.15</v>
      </c>
      <c r="U302">
        <v>0.001987</v>
      </c>
      <c r="V302">
        <f t="shared" si="22"/>
        <v>1.6</v>
      </c>
      <c r="W302">
        <f t="shared" si="23"/>
        <v>0.4</v>
      </c>
      <c r="X302">
        <f t="shared" si="24"/>
        <v>0.25</v>
      </c>
      <c r="Y302">
        <v>273.15</v>
      </c>
    </row>
    <row r="303" spans="1:25">
      <c r="A303" t="s">
        <v>429</v>
      </c>
      <c r="B303" t="s">
        <v>423</v>
      </c>
      <c r="C303" t="s">
        <v>371</v>
      </c>
      <c r="D303" t="s">
        <v>33</v>
      </c>
      <c r="E303" t="s">
        <v>34</v>
      </c>
      <c r="F303" t="s">
        <v>35</v>
      </c>
      <c r="G303" t="s">
        <v>424</v>
      </c>
      <c r="H303" t="s">
        <v>372</v>
      </c>
      <c r="I303" t="s">
        <v>36</v>
      </c>
      <c r="J303" t="s">
        <v>37</v>
      </c>
      <c r="L303">
        <v>60</v>
      </c>
      <c r="M303">
        <v>20</v>
      </c>
      <c r="N303">
        <v>-0.58</v>
      </c>
      <c r="O303">
        <f t="shared" si="20"/>
        <v>0.877059618118676</v>
      </c>
      <c r="P303">
        <v>1</v>
      </c>
      <c r="Q303">
        <v>0</v>
      </c>
      <c r="R303">
        <f t="shared" si="21"/>
        <v>333.15</v>
      </c>
      <c r="U303">
        <v>0.001987</v>
      </c>
      <c r="V303">
        <f t="shared" si="22"/>
        <v>1.58</v>
      </c>
      <c r="W303">
        <f t="shared" si="23"/>
        <v>0.42</v>
      </c>
      <c r="X303">
        <f t="shared" si="24"/>
        <v>0.265822784810127</v>
      </c>
      <c r="Y303">
        <v>273.15</v>
      </c>
    </row>
    <row r="304" spans="1:25">
      <c r="A304" t="s">
        <v>430</v>
      </c>
      <c r="B304" t="s">
        <v>423</v>
      </c>
      <c r="C304" t="s">
        <v>371</v>
      </c>
      <c r="D304" t="s">
        <v>39</v>
      </c>
      <c r="E304" t="s">
        <v>40</v>
      </c>
      <c r="F304" t="s">
        <v>41</v>
      </c>
      <c r="G304" t="s">
        <v>424</v>
      </c>
      <c r="H304" t="s">
        <v>372</v>
      </c>
      <c r="I304" t="s">
        <v>42</v>
      </c>
      <c r="J304" t="s">
        <v>43</v>
      </c>
      <c r="L304">
        <v>60</v>
      </c>
      <c r="M304">
        <v>20</v>
      </c>
      <c r="N304">
        <v>0.2</v>
      </c>
      <c r="O304">
        <f t="shared" si="20"/>
        <v>-0.268405352422509</v>
      </c>
      <c r="P304">
        <v>1</v>
      </c>
      <c r="Q304">
        <v>0</v>
      </c>
      <c r="R304">
        <f t="shared" si="21"/>
        <v>333.15</v>
      </c>
      <c r="U304">
        <v>0.001987</v>
      </c>
      <c r="V304">
        <f t="shared" si="22"/>
        <v>0.8</v>
      </c>
      <c r="W304">
        <f t="shared" si="23"/>
        <v>1.2</v>
      </c>
      <c r="X304">
        <f t="shared" si="24"/>
        <v>1.5</v>
      </c>
      <c r="Y304">
        <v>273.15</v>
      </c>
    </row>
    <row r="305" spans="1:25">
      <c r="A305" t="s">
        <v>431</v>
      </c>
      <c r="B305" t="s">
        <v>423</v>
      </c>
      <c r="C305" t="s">
        <v>371</v>
      </c>
      <c r="D305" t="s">
        <v>45</v>
      </c>
      <c r="E305" t="s">
        <v>46</v>
      </c>
      <c r="F305" t="s">
        <v>47</v>
      </c>
      <c r="G305" t="s">
        <v>424</v>
      </c>
      <c r="H305" t="s">
        <v>372</v>
      </c>
      <c r="I305" t="s">
        <v>48</v>
      </c>
      <c r="J305" t="s">
        <v>49</v>
      </c>
      <c r="L305">
        <v>60</v>
      </c>
      <c r="M305">
        <v>20</v>
      </c>
      <c r="N305">
        <v>0.22</v>
      </c>
      <c r="O305">
        <f t="shared" si="20"/>
        <v>-0.296106844031758</v>
      </c>
      <c r="P305">
        <v>1</v>
      </c>
      <c r="Q305">
        <v>0</v>
      </c>
      <c r="R305">
        <f t="shared" si="21"/>
        <v>333.15</v>
      </c>
      <c r="U305">
        <v>0.001987</v>
      </c>
      <c r="V305">
        <f t="shared" si="22"/>
        <v>0.78</v>
      </c>
      <c r="W305">
        <f t="shared" si="23"/>
        <v>1.22</v>
      </c>
      <c r="X305">
        <f t="shared" si="24"/>
        <v>1.56410256410256</v>
      </c>
      <c r="Y305">
        <v>273.15</v>
      </c>
    </row>
    <row r="306" spans="1:25">
      <c r="A306" t="s">
        <v>432</v>
      </c>
      <c r="B306" t="s">
        <v>423</v>
      </c>
      <c r="C306" t="s">
        <v>377</v>
      </c>
      <c r="D306" t="s">
        <v>25</v>
      </c>
      <c r="E306" t="s">
        <v>26</v>
      </c>
      <c r="F306" t="s">
        <v>27</v>
      </c>
      <c r="G306" t="s">
        <v>424</v>
      </c>
      <c r="H306" t="s">
        <v>378</v>
      </c>
      <c r="I306" t="s">
        <v>30</v>
      </c>
      <c r="J306" t="s">
        <v>31</v>
      </c>
      <c r="L306">
        <v>60</v>
      </c>
      <c r="M306">
        <v>5</v>
      </c>
      <c r="N306">
        <v>-0.49</v>
      </c>
      <c r="O306">
        <f t="shared" si="20"/>
        <v>0.709710703537554</v>
      </c>
      <c r="P306">
        <v>1</v>
      </c>
      <c r="Q306">
        <v>0</v>
      </c>
      <c r="R306">
        <f t="shared" si="21"/>
        <v>333.15</v>
      </c>
      <c r="U306">
        <v>0.001987</v>
      </c>
      <c r="V306">
        <f t="shared" si="22"/>
        <v>1.49</v>
      </c>
      <c r="W306">
        <f t="shared" si="23"/>
        <v>0.51</v>
      </c>
      <c r="X306">
        <f t="shared" si="24"/>
        <v>0.342281879194631</v>
      </c>
      <c r="Y306">
        <v>273.15</v>
      </c>
    </row>
    <row r="307" spans="1:25">
      <c r="A307" t="s">
        <v>433</v>
      </c>
      <c r="B307" t="s">
        <v>423</v>
      </c>
      <c r="C307" t="s">
        <v>377</v>
      </c>
      <c r="D307" t="s">
        <v>33</v>
      </c>
      <c r="E307" t="s">
        <v>34</v>
      </c>
      <c r="F307" t="s">
        <v>35</v>
      </c>
      <c r="G307" t="s">
        <v>424</v>
      </c>
      <c r="H307" t="s">
        <v>378</v>
      </c>
      <c r="I307" t="s">
        <v>36</v>
      </c>
      <c r="J307" t="s">
        <v>37</v>
      </c>
      <c r="L307">
        <v>60</v>
      </c>
      <c r="M307">
        <v>5</v>
      </c>
      <c r="N307">
        <v>-0.57</v>
      </c>
      <c r="O307">
        <f t="shared" si="20"/>
        <v>0.857280164887347</v>
      </c>
      <c r="P307">
        <v>1</v>
      </c>
      <c r="Q307">
        <v>0</v>
      </c>
      <c r="R307">
        <f t="shared" si="21"/>
        <v>333.15</v>
      </c>
      <c r="U307">
        <v>0.001987</v>
      </c>
      <c r="V307">
        <f t="shared" si="22"/>
        <v>1.57</v>
      </c>
      <c r="W307">
        <f t="shared" si="23"/>
        <v>0.43</v>
      </c>
      <c r="X307">
        <f t="shared" si="24"/>
        <v>0.273885350318471</v>
      </c>
      <c r="Y307">
        <v>273.15</v>
      </c>
    </row>
    <row r="308" spans="1:25">
      <c r="A308" t="s">
        <v>434</v>
      </c>
      <c r="B308" t="s">
        <v>423</v>
      </c>
      <c r="C308" t="s">
        <v>377</v>
      </c>
      <c r="D308" t="s">
        <v>39</v>
      </c>
      <c r="E308" t="s">
        <v>40</v>
      </c>
      <c r="F308" t="s">
        <v>41</v>
      </c>
      <c r="G308" t="s">
        <v>424</v>
      </c>
      <c r="H308" t="s">
        <v>378</v>
      </c>
      <c r="I308" t="s">
        <v>42</v>
      </c>
      <c r="J308" t="s">
        <v>43</v>
      </c>
      <c r="L308">
        <v>60</v>
      </c>
      <c r="M308">
        <v>5</v>
      </c>
      <c r="N308">
        <v>0.1</v>
      </c>
      <c r="O308">
        <f t="shared" si="20"/>
        <v>-0.13283778963792</v>
      </c>
      <c r="P308">
        <v>0.33</v>
      </c>
      <c r="Q308">
        <v>0</v>
      </c>
      <c r="R308">
        <f t="shared" si="21"/>
        <v>333.15</v>
      </c>
      <c r="U308">
        <v>0.001987</v>
      </c>
      <c r="V308">
        <f t="shared" si="22"/>
        <v>0.9</v>
      </c>
      <c r="W308">
        <f t="shared" si="23"/>
        <v>1.1</v>
      </c>
      <c r="X308">
        <f t="shared" si="24"/>
        <v>1.22222222222222</v>
      </c>
      <c r="Y308">
        <v>273.15</v>
      </c>
    </row>
    <row r="309" spans="1:25">
      <c r="A309" t="s">
        <v>435</v>
      </c>
      <c r="B309" t="s">
        <v>423</v>
      </c>
      <c r="C309" t="s">
        <v>377</v>
      </c>
      <c r="D309" t="s">
        <v>45</v>
      </c>
      <c r="E309" t="s">
        <v>46</v>
      </c>
      <c r="F309" t="s">
        <v>47</v>
      </c>
      <c r="G309" t="s">
        <v>424</v>
      </c>
      <c r="H309" t="s">
        <v>378</v>
      </c>
      <c r="I309" t="s">
        <v>48</v>
      </c>
      <c r="J309" t="s">
        <v>49</v>
      </c>
      <c r="L309">
        <v>60</v>
      </c>
      <c r="M309">
        <v>5</v>
      </c>
      <c r="N309">
        <v>0.08</v>
      </c>
      <c r="O309">
        <f t="shared" si="20"/>
        <v>-0.106141871744749</v>
      </c>
      <c r="P309">
        <v>0.38</v>
      </c>
      <c r="Q309">
        <v>0</v>
      </c>
      <c r="R309">
        <f t="shared" si="21"/>
        <v>333.15</v>
      </c>
      <c r="U309">
        <v>0.001987</v>
      </c>
      <c r="V309">
        <f t="shared" si="22"/>
        <v>0.92</v>
      </c>
      <c r="W309">
        <f t="shared" si="23"/>
        <v>1.08</v>
      </c>
      <c r="X309">
        <f t="shared" si="24"/>
        <v>1.17391304347826</v>
      </c>
      <c r="Y309">
        <v>273.15</v>
      </c>
    </row>
    <row r="310" spans="1:25">
      <c r="A310" t="s">
        <v>436</v>
      </c>
      <c r="B310" t="s">
        <v>423</v>
      </c>
      <c r="C310" t="s">
        <v>377</v>
      </c>
      <c r="D310" t="s">
        <v>25</v>
      </c>
      <c r="E310" t="s">
        <v>26</v>
      </c>
      <c r="F310" t="s">
        <v>27</v>
      </c>
      <c r="G310" t="s">
        <v>424</v>
      </c>
      <c r="H310" t="s">
        <v>378</v>
      </c>
      <c r="I310" t="s">
        <v>30</v>
      </c>
      <c r="J310" t="s">
        <v>31</v>
      </c>
      <c r="L310">
        <v>60</v>
      </c>
      <c r="M310">
        <v>50</v>
      </c>
      <c r="N310">
        <v>-0.32</v>
      </c>
      <c r="O310">
        <f t="shared" si="20"/>
        <v>0.439080242969566</v>
      </c>
      <c r="P310">
        <v>1</v>
      </c>
      <c r="Q310">
        <v>0</v>
      </c>
      <c r="R310">
        <f t="shared" si="21"/>
        <v>333.15</v>
      </c>
      <c r="U310">
        <v>0.001987</v>
      </c>
      <c r="V310">
        <f t="shared" si="22"/>
        <v>1.32</v>
      </c>
      <c r="W310">
        <f t="shared" si="23"/>
        <v>0.68</v>
      </c>
      <c r="X310">
        <f t="shared" si="24"/>
        <v>0.515151515151515</v>
      </c>
      <c r="Y310">
        <v>273.15</v>
      </c>
    </row>
    <row r="311" spans="1:25">
      <c r="A311" t="s">
        <v>437</v>
      </c>
      <c r="B311" t="s">
        <v>423</v>
      </c>
      <c r="C311" t="s">
        <v>377</v>
      </c>
      <c r="D311" t="s">
        <v>33</v>
      </c>
      <c r="E311" t="s">
        <v>34</v>
      </c>
      <c r="F311" t="s">
        <v>35</v>
      </c>
      <c r="G311" t="s">
        <v>424</v>
      </c>
      <c r="H311" t="s">
        <v>378</v>
      </c>
      <c r="I311" t="s">
        <v>36</v>
      </c>
      <c r="J311" t="s">
        <v>37</v>
      </c>
      <c r="L311">
        <v>60</v>
      </c>
      <c r="M311">
        <v>50</v>
      </c>
      <c r="N311">
        <v>-0.4</v>
      </c>
      <c r="O311">
        <f t="shared" si="20"/>
        <v>0.56088495970755</v>
      </c>
      <c r="P311">
        <v>1</v>
      </c>
      <c r="Q311">
        <v>0</v>
      </c>
      <c r="R311">
        <f t="shared" si="21"/>
        <v>333.15</v>
      </c>
      <c r="U311">
        <v>0.001987</v>
      </c>
      <c r="V311">
        <f t="shared" si="22"/>
        <v>1.4</v>
      </c>
      <c r="W311">
        <f t="shared" si="23"/>
        <v>0.6</v>
      </c>
      <c r="X311">
        <f t="shared" si="24"/>
        <v>0.428571428571429</v>
      </c>
      <c r="Y311">
        <v>273.15</v>
      </c>
    </row>
    <row r="312" spans="1:25">
      <c r="A312" t="s">
        <v>438</v>
      </c>
      <c r="B312" t="s">
        <v>423</v>
      </c>
      <c r="C312" t="s">
        <v>377</v>
      </c>
      <c r="D312" t="s">
        <v>39</v>
      </c>
      <c r="E312" t="s">
        <v>40</v>
      </c>
      <c r="F312" t="s">
        <v>41</v>
      </c>
      <c r="G312" t="s">
        <v>424</v>
      </c>
      <c r="H312" t="s">
        <v>378</v>
      </c>
      <c r="I312" t="s">
        <v>42</v>
      </c>
      <c r="J312" t="s">
        <v>43</v>
      </c>
      <c r="L312">
        <v>60</v>
      </c>
      <c r="M312">
        <v>50</v>
      </c>
      <c r="N312">
        <v>0.11</v>
      </c>
      <c r="O312">
        <f t="shared" si="20"/>
        <v>-0.146224879842001</v>
      </c>
      <c r="P312">
        <v>0.71</v>
      </c>
      <c r="Q312">
        <v>0</v>
      </c>
      <c r="R312">
        <f t="shared" si="21"/>
        <v>333.15</v>
      </c>
      <c r="U312">
        <v>0.001987</v>
      </c>
      <c r="V312">
        <f t="shared" si="22"/>
        <v>0.89</v>
      </c>
      <c r="W312">
        <f t="shared" si="23"/>
        <v>1.11</v>
      </c>
      <c r="X312">
        <f t="shared" si="24"/>
        <v>1.24719101123596</v>
      </c>
      <c r="Y312">
        <v>273.15</v>
      </c>
    </row>
    <row r="313" spans="1:25">
      <c r="A313" t="s">
        <v>439</v>
      </c>
      <c r="B313" t="s">
        <v>423</v>
      </c>
      <c r="C313" t="s">
        <v>377</v>
      </c>
      <c r="D313" t="s">
        <v>45</v>
      </c>
      <c r="E313" t="s">
        <v>46</v>
      </c>
      <c r="F313" t="s">
        <v>47</v>
      </c>
      <c r="G313" t="s">
        <v>424</v>
      </c>
      <c r="H313" t="s">
        <v>378</v>
      </c>
      <c r="I313" t="s">
        <v>48</v>
      </c>
      <c r="J313" t="s">
        <v>49</v>
      </c>
      <c r="L313">
        <v>60</v>
      </c>
      <c r="M313">
        <v>50</v>
      </c>
      <c r="N313">
        <v>0.09</v>
      </c>
      <c r="O313">
        <f t="shared" si="20"/>
        <v>-0.11947771860631</v>
      </c>
      <c r="P313">
        <v>0.8</v>
      </c>
      <c r="Q313">
        <v>0</v>
      </c>
      <c r="R313">
        <f t="shared" si="21"/>
        <v>333.15</v>
      </c>
      <c r="U313">
        <v>0.001987</v>
      </c>
      <c r="V313">
        <f t="shared" si="22"/>
        <v>0.91</v>
      </c>
      <c r="W313">
        <f t="shared" si="23"/>
        <v>1.09</v>
      </c>
      <c r="X313">
        <f t="shared" si="24"/>
        <v>1.1978021978022</v>
      </c>
      <c r="Y313">
        <v>273.15</v>
      </c>
    </row>
    <row r="314" spans="1:25">
      <c r="A314" t="s">
        <v>440</v>
      </c>
      <c r="B314" t="s">
        <v>423</v>
      </c>
      <c r="C314" t="s">
        <v>377</v>
      </c>
      <c r="D314" t="s">
        <v>25</v>
      </c>
      <c r="E314" t="s">
        <v>26</v>
      </c>
      <c r="F314" t="s">
        <v>27</v>
      </c>
      <c r="G314" t="s">
        <v>424</v>
      </c>
      <c r="H314" t="s">
        <v>378</v>
      </c>
      <c r="I314" t="s">
        <v>30</v>
      </c>
      <c r="J314" t="s">
        <v>31</v>
      </c>
      <c r="L314">
        <v>60</v>
      </c>
      <c r="M314">
        <v>20</v>
      </c>
      <c r="N314">
        <v>-0.55</v>
      </c>
      <c r="O314">
        <f t="shared" si="20"/>
        <v>0.818698581369279</v>
      </c>
      <c r="P314">
        <v>1</v>
      </c>
      <c r="Q314">
        <v>0</v>
      </c>
      <c r="R314">
        <f t="shared" si="21"/>
        <v>333.15</v>
      </c>
      <c r="U314">
        <v>0.001987</v>
      </c>
      <c r="V314">
        <f t="shared" si="22"/>
        <v>1.55</v>
      </c>
      <c r="W314">
        <f t="shared" si="23"/>
        <v>0.45</v>
      </c>
      <c r="X314">
        <f t="shared" si="24"/>
        <v>0.290322580645161</v>
      </c>
      <c r="Y314">
        <v>273.15</v>
      </c>
    </row>
    <row r="315" spans="1:25">
      <c r="A315" t="s">
        <v>441</v>
      </c>
      <c r="B315" t="s">
        <v>423</v>
      </c>
      <c r="C315" t="s">
        <v>377</v>
      </c>
      <c r="D315" t="s">
        <v>33</v>
      </c>
      <c r="E315" t="s">
        <v>34</v>
      </c>
      <c r="F315" t="s">
        <v>35</v>
      </c>
      <c r="G315" t="s">
        <v>424</v>
      </c>
      <c r="H315" t="s">
        <v>378</v>
      </c>
      <c r="I315" t="s">
        <v>36</v>
      </c>
      <c r="J315" t="s">
        <v>37</v>
      </c>
      <c r="L315">
        <v>60</v>
      </c>
      <c r="M315">
        <v>20</v>
      </c>
      <c r="N315">
        <v>-0.62</v>
      </c>
      <c r="O315">
        <f t="shared" si="20"/>
        <v>0.959861858370039</v>
      </c>
      <c r="P315">
        <v>1</v>
      </c>
      <c r="Q315">
        <v>0</v>
      </c>
      <c r="R315">
        <f t="shared" si="21"/>
        <v>333.15</v>
      </c>
      <c r="U315">
        <v>0.001987</v>
      </c>
      <c r="V315">
        <f t="shared" si="22"/>
        <v>1.62</v>
      </c>
      <c r="W315">
        <f t="shared" si="23"/>
        <v>0.38</v>
      </c>
      <c r="X315">
        <f t="shared" si="24"/>
        <v>0.234567901234568</v>
      </c>
      <c r="Y315">
        <v>273.15</v>
      </c>
    </row>
    <row r="316" spans="1:25">
      <c r="A316" t="s">
        <v>442</v>
      </c>
      <c r="B316" t="s">
        <v>423</v>
      </c>
      <c r="C316" t="s">
        <v>377</v>
      </c>
      <c r="D316" t="s">
        <v>39</v>
      </c>
      <c r="E316" t="s">
        <v>40</v>
      </c>
      <c r="F316" t="s">
        <v>41</v>
      </c>
      <c r="G316" t="s">
        <v>424</v>
      </c>
      <c r="H316" t="s">
        <v>378</v>
      </c>
      <c r="I316" t="s">
        <v>42</v>
      </c>
      <c r="J316" t="s">
        <v>43</v>
      </c>
      <c r="L316">
        <v>60</v>
      </c>
      <c r="M316">
        <v>20</v>
      </c>
      <c r="N316">
        <v>0.15</v>
      </c>
      <c r="O316">
        <f t="shared" si="20"/>
        <v>-0.200100581586898</v>
      </c>
      <c r="P316">
        <v>0.65</v>
      </c>
      <c r="Q316">
        <v>0</v>
      </c>
      <c r="R316">
        <f t="shared" si="21"/>
        <v>333.15</v>
      </c>
      <c r="U316">
        <v>0.001987</v>
      </c>
      <c r="V316">
        <f t="shared" si="22"/>
        <v>0.85</v>
      </c>
      <c r="W316">
        <f t="shared" si="23"/>
        <v>1.15</v>
      </c>
      <c r="X316">
        <f t="shared" si="24"/>
        <v>1.35294117647059</v>
      </c>
      <c r="Y316">
        <v>273.15</v>
      </c>
    </row>
    <row r="317" spans="1:25">
      <c r="A317" t="s">
        <v>443</v>
      </c>
      <c r="B317" t="s">
        <v>423</v>
      </c>
      <c r="C317" t="s">
        <v>377</v>
      </c>
      <c r="D317" t="s">
        <v>45</v>
      </c>
      <c r="E317" t="s">
        <v>46</v>
      </c>
      <c r="F317" t="s">
        <v>47</v>
      </c>
      <c r="G317" t="s">
        <v>424</v>
      </c>
      <c r="H317" t="s">
        <v>378</v>
      </c>
      <c r="I317" t="s">
        <v>48</v>
      </c>
      <c r="J317" t="s">
        <v>49</v>
      </c>
      <c r="L317">
        <v>60</v>
      </c>
      <c r="M317">
        <v>20</v>
      </c>
      <c r="N317">
        <v>0.12</v>
      </c>
      <c r="O317">
        <f t="shared" si="20"/>
        <v>-0.159641817647122</v>
      </c>
      <c r="P317">
        <v>0.47</v>
      </c>
      <c r="Q317">
        <v>0</v>
      </c>
      <c r="R317">
        <f t="shared" si="21"/>
        <v>333.15</v>
      </c>
      <c r="U317">
        <v>0.001987</v>
      </c>
      <c r="V317">
        <f t="shared" si="22"/>
        <v>0.88</v>
      </c>
      <c r="W317">
        <f t="shared" si="23"/>
        <v>1.12</v>
      </c>
      <c r="X317">
        <f t="shared" si="24"/>
        <v>1.27272727272727</v>
      </c>
      <c r="Y317">
        <v>273.15</v>
      </c>
    </row>
    <row r="318" spans="1:25">
      <c r="A318" t="s">
        <v>444</v>
      </c>
      <c r="B318" t="s">
        <v>423</v>
      </c>
      <c r="C318" t="s">
        <v>391</v>
      </c>
      <c r="D318" t="s">
        <v>25</v>
      </c>
      <c r="E318" t="s">
        <v>26</v>
      </c>
      <c r="F318" t="s">
        <v>27</v>
      </c>
      <c r="G318" t="s">
        <v>424</v>
      </c>
      <c r="H318" t="s">
        <v>392</v>
      </c>
      <c r="I318" t="s">
        <v>30</v>
      </c>
      <c r="J318" t="s">
        <v>31</v>
      </c>
      <c r="L318">
        <v>60</v>
      </c>
      <c r="M318">
        <v>20</v>
      </c>
      <c r="N318">
        <v>-0.67</v>
      </c>
      <c r="O318">
        <f t="shared" si="20"/>
        <v>1.07337371312962</v>
      </c>
      <c r="P318">
        <v>1</v>
      </c>
      <c r="Q318">
        <v>0</v>
      </c>
      <c r="R318">
        <f t="shared" si="21"/>
        <v>333.15</v>
      </c>
      <c r="U318">
        <v>0.001987</v>
      </c>
      <c r="V318">
        <f t="shared" si="22"/>
        <v>1.67</v>
      </c>
      <c r="W318">
        <f t="shared" si="23"/>
        <v>0.33</v>
      </c>
      <c r="X318">
        <f t="shared" si="24"/>
        <v>0.197604790419162</v>
      </c>
      <c r="Y318">
        <v>273.15</v>
      </c>
    </row>
    <row r="319" spans="1:25">
      <c r="A319" t="s">
        <v>445</v>
      </c>
      <c r="B319" t="s">
        <v>423</v>
      </c>
      <c r="C319" t="s">
        <v>391</v>
      </c>
      <c r="D319" t="s">
        <v>33</v>
      </c>
      <c r="E319" t="s">
        <v>34</v>
      </c>
      <c r="F319" t="s">
        <v>35</v>
      </c>
      <c r="G319" t="s">
        <v>424</v>
      </c>
      <c r="H319" t="s">
        <v>392</v>
      </c>
      <c r="I319" t="s">
        <v>36</v>
      </c>
      <c r="J319" t="s">
        <v>37</v>
      </c>
      <c r="L319">
        <v>60</v>
      </c>
      <c r="M319">
        <v>20</v>
      </c>
      <c r="N319">
        <v>-0.68</v>
      </c>
      <c r="O319">
        <f t="shared" si="20"/>
        <v>1.09769566455257</v>
      </c>
      <c r="P319">
        <v>1</v>
      </c>
      <c r="Q319">
        <v>0</v>
      </c>
      <c r="R319">
        <f t="shared" si="21"/>
        <v>333.15</v>
      </c>
      <c r="U319">
        <v>0.001987</v>
      </c>
      <c r="V319">
        <f t="shared" si="22"/>
        <v>1.68</v>
      </c>
      <c r="W319">
        <f t="shared" si="23"/>
        <v>0.32</v>
      </c>
      <c r="X319">
        <f t="shared" si="24"/>
        <v>0.19047619047619</v>
      </c>
      <c r="Y319">
        <v>273.15</v>
      </c>
    </row>
    <row r="320" spans="1:25">
      <c r="A320" t="s">
        <v>446</v>
      </c>
      <c r="B320" t="s">
        <v>423</v>
      </c>
      <c r="C320" t="s">
        <v>391</v>
      </c>
      <c r="D320" t="s">
        <v>39</v>
      </c>
      <c r="E320" t="s">
        <v>40</v>
      </c>
      <c r="F320" t="s">
        <v>41</v>
      </c>
      <c r="G320" t="s">
        <v>424</v>
      </c>
      <c r="H320" t="s">
        <v>392</v>
      </c>
      <c r="I320" t="s">
        <v>42</v>
      </c>
      <c r="J320" t="s">
        <v>43</v>
      </c>
      <c r="L320">
        <v>60</v>
      </c>
      <c r="M320">
        <v>20</v>
      </c>
      <c r="N320">
        <v>0.25</v>
      </c>
      <c r="O320">
        <f t="shared" si="20"/>
        <v>-0.33815075288003</v>
      </c>
      <c r="P320">
        <v>0.94</v>
      </c>
      <c r="Q320">
        <v>0</v>
      </c>
      <c r="R320">
        <f t="shared" si="21"/>
        <v>333.15</v>
      </c>
      <c r="U320">
        <v>0.001987</v>
      </c>
      <c r="V320">
        <f t="shared" si="22"/>
        <v>0.75</v>
      </c>
      <c r="W320">
        <f t="shared" si="23"/>
        <v>1.25</v>
      </c>
      <c r="X320">
        <f t="shared" si="24"/>
        <v>1.66666666666667</v>
      </c>
      <c r="Y320">
        <v>273.15</v>
      </c>
    </row>
    <row r="321" spans="1:25">
      <c r="A321" t="s">
        <v>447</v>
      </c>
      <c r="B321" t="s">
        <v>423</v>
      </c>
      <c r="C321" t="s">
        <v>391</v>
      </c>
      <c r="D321" t="s">
        <v>45</v>
      </c>
      <c r="E321" t="s">
        <v>46</v>
      </c>
      <c r="F321" t="s">
        <v>47</v>
      </c>
      <c r="G321" t="s">
        <v>424</v>
      </c>
      <c r="H321" t="s">
        <v>392</v>
      </c>
      <c r="I321" t="s">
        <v>48</v>
      </c>
      <c r="J321" t="s">
        <v>49</v>
      </c>
      <c r="L321">
        <v>60</v>
      </c>
      <c r="M321">
        <v>20</v>
      </c>
      <c r="N321">
        <v>0.23</v>
      </c>
      <c r="O321">
        <f t="shared" si="20"/>
        <v>-0.310052357661409</v>
      </c>
      <c r="P321">
        <v>0.86</v>
      </c>
      <c r="Q321">
        <v>0</v>
      </c>
      <c r="R321">
        <f t="shared" si="21"/>
        <v>333.15</v>
      </c>
      <c r="U321">
        <v>0.001987</v>
      </c>
      <c r="V321">
        <f t="shared" si="22"/>
        <v>0.77</v>
      </c>
      <c r="W321">
        <f t="shared" si="23"/>
        <v>1.23</v>
      </c>
      <c r="X321">
        <f t="shared" si="24"/>
        <v>1.5974025974026</v>
      </c>
      <c r="Y321">
        <v>273.15</v>
      </c>
    </row>
    <row r="322" spans="1:25">
      <c r="A322" t="s">
        <v>448</v>
      </c>
      <c r="B322" t="s">
        <v>449</v>
      </c>
      <c r="C322" t="s">
        <v>24</v>
      </c>
      <c r="D322" t="s">
        <v>25</v>
      </c>
      <c r="E322" t="s">
        <v>26</v>
      </c>
      <c r="F322" t="s">
        <v>27</v>
      </c>
      <c r="G322" t="s">
        <v>450</v>
      </c>
      <c r="H322" t="s">
        <v>29</v>
      </c>
      <c r="I322" t="s">
        <v>30</v>
      </c>
      <c r="J322" t="s">
        <v>31</v>
      </c>
      <c r="L322">
        <v>60</v>
      </c>
      <c r="M322">
        <v>20</v>
      </c>
      <c r="N322">
        <v>-0.32</v>
      </c>
      <c r="O322">
        <f t="shared" si="20"/>
        <v>0.439080242969566</v>
      </c>
      <c r="P322">
        <v>1</v>
      </c>
      <c r="Q322">
        <v>1</v>
      </c>
      <c r="R322">
        <f t="shared" si="21"/>
        <v>333.15</v>
      </c>
      <c r="U322">
        <v>0.001987</v>
      </c>
      <c r="V322">
        <f t="shared" si="22"/>
        <v>1.32</v>
      </c>
      <c r="W322">
        <f t="shared" si="23"/>
        <v>0.68</v>
      </c>
      <c r="X322">
        <f t="shared" si="24"/>
        <v>0.515151515151515</v>
      </c>
      <c r="Y322">
        <v>273.15</v>
      </c>
    </row>
    <row r="323" spans="1:25">
      <c r="A323" t="s">
        <v>451</v>
      </c>
      <c r="B323" t="s">
        <v>449</v>
      </c>
      <c r="C323" t="s">
        <v>24</v>
      </c>
      <c r="D323" t="s">
        <v>33</v>
      </c>
      <c r="E323" t="s">
        <v>34</v>
      </c>
      <c r="F323" t="s">
        <v>35</v>
      </c>
      <c r="G323" t="s">
        <v>450</v>
      </c>
      <c r="H323" t="s">
        <v>29</v>
      </c>
      <c r="I323" t="s">
        <v>36</v>
      </c>
      <c r="J323" t="s">
        <v>37</v>
      </c>
      <c r="L323">
        <v>60</v>
      </c>
      <c r="M323">
        <v>20</v>
      </c>
      <c r="N323">
        <v>-0.67</v>
      </c>
      <c r="O323">
        <f t="shared" ref="O323:O386" si="25">-U323*R323*LN(X323)</f>
        <v>1.07337371312962</v>
      </c>
      <c r="P323">
        <v>1</v>
      </c>
      <c r="Q323">
        <v>1</v>
      </c>
      <c r="R323">
        <f t="shared" ref="R323:R386" si="26">L323+Y323</f>
        <v>333.15</v>
      </c>
      <c r="U323">
        <v>0.001987</v>
      </c>
      <c r="V323">
        <f t="shared" ref="V323:V386" si="27">1-N323</f>
        <v>1.67</v>
      </c>
      <c r="W323">
        <f t="shared" ref="W323:W386" si="28">1+N323</f>
        <v>0.33</v>
      </c>
      <c r="X323">
        <f t="shared" ref="X323:X386" si="29">W323/V323</f>
        <v>0.197604790419162</v>
      </c>
      <c r="Y323">
        <v>273.15</v>
      </c>
    </row>
    <row r="324" spans="1:25">
      <c r="A324" t="s">
        <v>452</v>
      </c>
      <c r="B324" t="s">
        <v>449</v>
      </c>
      <c r="C324" t="s">
        <v>24</v>
      </c>
      <c r="D324" t="s">
        <v>39</v>
      </c>
      <c r="E324" t="s">
        <v>40</v>
      </c>
      <c r="F324" t="s">
        <v>41</v>
      </c>
      <c r="G324" t="s">
        <v>450</v>
      </c>
      <c r="H324" t="s">
        <v>29</v>
      </c>
      <c r="I324" t="s">
        <v>42</v>
      </c>
      <c r="J324" t="s">
        <v>43</v>
      </c>
      <c r="L324">
        <v>60</v>
      </c>
      <c r="M324">
        <v>20</v>
      </c>
      <c r="N324">
        <v>-0.32</v>
      </c>
      <c r="O324">
        <f t="shared" si="25"/>
        <v>0.439080242969566</v>
      </c>
      <c r="P324">
        <v>1</v>
      </c>
      <c r="Q324">
        <v>1</v>
      </c>
      <c r="R324">
        <f t="shared" si="26"/>
        <v>333.15</v>
      </c>
      <c r="U324">
        <v>0.001987</v>
      </c>
      <c r="V324">
        <f t="shared" si="27"/>
        <v>1.32</v>
      </c>
      <c r="W324">
        <f t="shared" si="28"/>
        <v>0.68</v>
      </c>
      <c r="X324">
        <f t="shared" si="29"/>
        <v>0.515151515151515</v>
      </c>
      <c r="Y324">
        <v>273.15</v>
      </c>
    </row>
    <row r="325" spans="1:25">
      <c r="A325" t="s">
        <v>453</v>
      </c>
      <c r="B325" t="s">
        <v>449</v>
      </c>
      <c r="C325" t="s">
        <v>24</v>
      </c>
      <c r="D325" t="s">
        <v>45</v>
      </c>
      <c r="E325" t="s">
        <v>46</v>
      </c>
      <c r="F325" t="s">
        <v>47</v>
      </c>
      <c r="G325" t="s">
        <v>450</v>
      </c>
      <c r="H325" t="s">
        <v>29</v>
      </c>
      <c r="I325" t="s">
        <v>48</v>
      </c>
      <c r="J325" t="s">
        <v>49</v>
      </c>
      <c r="L325">
        <v>60</v>
      </c>
      <c r="M325">
        <v>20</v>
      </c>
      <c r="N325">
        <v>-0.1</v>
      </c>
      <c r="O325">
        <f t="shared" si="25"/>
        <v>0.13283778963792</v>
      </c>
      <c r="P325">
        <v>1</v>
      </c>
      <c r="Q325">
        <v>1</v>
      </c>
      <c r="R325">
        <f t="shared" si="26"/>
        <v>333.15</v>
      </c>
      <c r="U325">
        <v>0.001987</v>
      </c>
      <c r="V325">
        <f t="shared" si="27"/>
        <v>1.1</v>
      </c>
      <c r="W325">
        <f t="shared" si="28"/>
        <v>0.9</v>
      </c>
      <c r="X325">
        <f t="shared" si="29"/>
        <v>0.818181818181818</v>
      </c>
      <c r="Y325">
        <v>273.15</v>
      </c>
    </row>
    <row r="326" spans="1:25">
      <c r="A326" t="s">
        <v>454</v>
      </c>
      <c r="B326" t="s">
        <v>455</v>
      </c>
      <c r="C326" t="s">
        <v>24</v>
      </c>
      <c r="D326" t="s">
        <v>25</v>
      </c>
      <c r="E326" t="s">
        <v>26</v>
      </c>
      <c r="F326" t="s">
        <v>27</v>
      </c>
      <c r="G326" t="s">
        <v>456</v>
      </c>
      <c r="H326" t="s">
        <v>29</v>
      </c>
      <c r="I326" t="s">
        <v>30</v>
      </c>
      <c r="J326" t="s">
        <v>31</v>
      </c>
      <c r="L326">
        <v>60</v>
      </c>
      <c r="M326">
        <v>20</v>
      </c>
      <c r="N326">
        <v>0.45</v>
      </c>
      <c r="O326">
        <f t="shared" si="25"/>
        <v>-0.641713165911279</v>
      </c>
      <c r="P326">
        <v>1</v>
      </c>
      <c r="Q326">
        <v>1</v>
      </c>
      <c r="R326">
        <f t="shared" si="26"/>
        <v>333.15</v>
      </c>
      <c r="U326">
        <v>0.001987</v>
      </c>
      <c r="V326">
        <f t="shared" si="27"/>
        <v>0.55</v>
      </c>
      <c r="W326">
        <f t="shared" si="28"/>
        <v>1.45</v>
      </c>
      <c r="X326">
        <f t="shared" si="29"/>
        <v>2.63636363636364</v>
      </c>
      <c r="Y326">
        <v>273.15</v>
      </c>
    </row>
    <row r="327" spans="1:25">
      <c r="A327" t="s">
        <v>457</v>
      </c>
      <c r="B327" t="s">
        <v>455</v>
      </c>
      <c r="C327" t="s">
        <v>24</v>
      </c>
      <c r="D327" t="s">
        <v>33</v>
      </c>
      <c r="E327" t="s">
        <v>34</v>
      </c>
      <c r="F327" t="s">
        <v>35</v>
      </c>
      <c r="G327" t="s">
        <v>456</v>
      </c>
      <c r="H327" t="s">
        <v>29</v>
      </c>
      <c r="I327" t="s">
        <v>36</v>
      </c>
      <c r="J327" t="s">
        <v>37</v>
      </c>
      <c r="L327">
        <v>60</v>
      </c>
      <c r="M327">
        <v>20</v>
      </c>
      <c r="N327">
        <v>0.32</v>
      </c>
      <c r="O327">
        <f t="shared" si="25"/>
        <v>-0.439080242969566</v>
      </c>
      <c r="P327">
        <v>1</v>
      </c>
      <c r="Q327">
        <v>1</v>
      </c>
      <c r="R327">
        <f t="shared" si="26"/>
        <v>333.15</v>
      </c>
      <c r="U327">
        <v>0.001987</v>
      </c>
      <c r="V327">
        <f t="shared" si="27"/>
        <v>0.68</v>
      </c>
      <c r="W327">
        <f t="shared" si="28"/>
        <v>1.32</v>
      </c>
      <c r="X327">
        <f t="shared" si="29"/>
        <v>1.94117647058824</v>
      </c>
      <c r="Y327">
        <v>273.15</v>
      </c>
    </row>
    <row r="328" spans="1:25">
      <c r="A328" t="s">
        <v>458</v>
      </c>
      <c r="B328" t="s">
        <v>455</v>
      </c>
      <c r="C328" t="s">
        <v>24</v>
      </c>
      <c r="D328" t="s">
        <v>39</v>
      </c>
      <c r="E328" t="s">
        <v>40</v>
      </c>
      <c r="F328" t="s">
        <v>41</v>
      </c>
      <c r="G328" t="s">
        <v>456</v>
      </c>
      <c r="H328" t="s">
        <v>29</v>
      </c>
      <c r="I328" t="s">
        <v>42</v>
      </c>
      <c r="J328" t="s">
        <v>43</v>
      </c>
      <c r="L328">
        <v>60</v>
      </c>
      <c r="M328">
        <v>20</v>
      </c>
      <c r="N328">
        <v>0.63</v>
      </c>
      <c r="O328">
        <f t="shared" si="25"/>
        <v>-0.981589081104281</v>
      </c>
      <c r="P328">
        <v>1</v>
      </c>
      <c r="Q328">
        <v>1</v>
      </c>
      <c r="R328">
        <f t="shared" si="26"/>
        <v>333.15</v>
      </c>
      <c r="U328">
        <v>0.001987</v>
      </c>
      <c r="V328">
        <f t="shared" si="27"/>
        <v>0.37</v>
      </c>
      <c r="W328">
        <f t="shared" si="28"/>
        <v>1.63</v>
      </c>
      <c r="X328">
        <f t="shared" si="29"/>
        <v>4.40540540540541</v>
      </c>
      <c r="Y328">
        <v>273.15</v>
      </c>
    </row>
    <row r="329" spans="1:25">
      <c r="A329" t="s">
        <v>459</v>
      </c>
      <c r="B329" t="s">
        <v>455</v>
      </c>
      <c r="C329" t="s">
        <v>24</v>
      </c>
      <c r="D329" t="s">
        <v>45</v>
      </c>
      <c r="E329" t="s">
        <v>46</v>
      </c>
      <c r="F329" t="s">
        <v>47</v>
      </c>
      <c r="G329" t="s">
        <v>456</v>
      </c>
      <c r="H329" t="s">
        <v>29</v>
      </c>
      <c r="I329" t="s">
        <v>48</v>
      </c>
      <c r="J329" t="s">
        <v>49</v>
      </c>
      <c r="L329">
        <v>60</v>
      </c>
      <c r="M329">
        <v>20</v>
      </c>
      <c r="N329">
        <v>0.59</v>
      </c>
      <c r="O329">
        <f t="shared" si="25"/>
        <v>-0.897187926181947</v>
      </c>
      <c r="P329">
        <v>1</v>
      </c>
      <c r="Q329">
        <v>1</v>
      </c>
      <c r="R329">
        <f t="shared" si="26"/>
        <v>333.15</v>
      </c>
      <c r="U329">
        <v>0.001987</v>
      </c>
      <c r="V329">
        <f t="shared" si="27"/>
        <v>0.41</v>
      </c>
      <c r="W329">
        <f t="shared" si="28"/>
        <v>1.59</v>
      </c>
      <c r="X329">
        <f t="shared" si="29"/>
        <v>3.8780487804878</v>
      </c>
      <c r="Y329">
        <v>273.15</v>
      </c>
    </row>
    <row r="330" spans="1:25">
      <c r="A330" t="s">
        <v>460</v>
      </c>
      <c r="B330" t="s">
        <v>461</v>
      </c>
      <c r="C330" t="s">
        <v>278</v>
      </c>
      <c r="D330" t="s">
        <v>25</v>
      </c>
      <c r="E330" t="s">
        <v>26</v>
      </c>
      <c r="F330" t="s">
        <v>27</v>
      </c>
      <c r="G330" t="s">
        <v>462</v>
      </c>
      <c r="H330" t="s">
        <v>280</v>
      </c>
      <c r="I330" t="s">
        <v>30</v>
      </c>
      <c r="J330" t="s">
        <v>31</v>
      </c>
      <c r="L330">
        <v>60</v>
      </c>
      <c r="M330">
        <v>20</v>
      </c>
      <c r="N330">
        <v>0.16</v>
      </c>
      <c r="O330">
        <f t="shared" si="25"/>
        <v>-0.213665995841649</v>
      </c>
      <c r="P330">
        <v>1</v>
      </c>
      <c r="Q330">
        <v>0</v>
      </c>
      <c r="R330">
        <f t="shared" si="26"/>
        <v>333.15</v>
      </c>
      <c r="U330">
        <v>0.001987</v>
      </c>
      <c r="V330">
        <f t="shared" si="27"/>
        <v>0.84</v>
      </c>
      <c r="W330">
        <f t="shared" si="28"/>
        <v>1.16</v>
      </c>
      <c r="X330">
        <f t="shared" si="29"/>
        <v>1.38095238095238</v>
      </c>
      <c r="Y330">
        <v>273.15</v>
      </c>
    </row>
    <row r="331" spans="1:25">
      <c r="A331" t="s">
        <v>463</v>
      </c>
      <c r="B331" t="s">
        <v>461</v>
      </c>
      <c r="C331" t="s">
        <v>278</v>
      </c>
      <c r="D331" t="s">
        <v>33</v>
      </c>
      <c r="E331" t="s">
        <v>34</v>
      </c>
      <c r="F331" t="s">
        <v>35</v>
      </c>
      <c r="G331" t="s">
        <v>462</v>
      </c>
      <c r="H331" t="s">
        <v>280</v>
      </c>
      <c r="I331" t="s">
        <v>36</v>
      </c>
      <c r="J331" t="s">
        <v>37</v>
      </c>
      <c r="L331">
        <v>60</v>
      </c>
      <c r="M331">
        <v>20</v>
      </c>
      <c r="N331">
        <v>0.17</v>
      </c>
      <c r="O331">
        <f t="shared" si="25"/>
        <v>-0.227276036308296</v>
      </c>
      <c r="P331">
        <v>1</v>
      </c>
      <c r="Q331">
        <v>0</v>
      </c>
      <c r="R331">
        <f t="shared" si="26"/>
        <v>333.15</v>
      </c>
      <c r="U331">
        <v>0.001987</v>
      </c>
      <c r="V331">
        <f t="shared" si="27"/>
        <v>0.83</v>
      </c>
      <c r="W331">
        <f t="shared" si="28"/>
        <v>1.17</v>
      </c>
      <c r="X331">
        <f t="shared" si="29"/>
        <v>1.40963855421687</v>
      </c>
      <c r="Y331">
        <v>273.15</v>
      </c>
    </row>
    <row r="332" spans="1:25">
      <c r="A332" t="s">
        <v>464</v>
      </c>
      <c r="B332" t="s">
        <v>461</v>
      </c>
      <c r="C332" t="s">
        <v>278</v>
      </c>
      <c r="D332" t="s">
        <v>39</v>
      </c>
      <c r="E332" t="s">
        <v>40</v>
      </c>
      <c r="F332" t="s">
        <v>41</v>
      </c>
      <c r="G332" t="s">
        <v>462</v>
      </c>
      <c r="H332" t="s">
        <v>280</v>
      </c>
      <c r="I332" t="s">
        <v>42</v>
      </c>
      <c r="J332" t="s">
        <v>43</v>
      </c>
      <c r="L332">
        <v>60</v>
      </c>
      <c r="M332">
        <v>20</v>
      </c>
      <c r="N332">
        <v>-0.03</v>
      </c>
      <c r="O332">
        <f t="shared" si="25"/>
        <v>0.0397300648813785</v>
      </c>
      <c r="P332">
        <v>1</v>
      </c>
      <c r="Q332">
        <v>0</v>
      </c>
      <c r="R332">
        <f t="shared" si="26"/>
        <v>333.15</v>
      </c>
      <c r="U332">
        <v>0.001987</v>
      </c>
      <c r="V332">
        <f t="shared" si="27"/>
        <v>1.03</v>
      </c>
      <c r="W332">
        <f t="shared" si="28"/>
        <v>0.97</v>
      </c>
      <c r="X332">
        <f t="shared" si="29"/>
        <v>0.941747572815534</v>
      </c>
      <c r="Y332">
        <v>273.15</v>
      </c>
    </row>
    <row r="333" spans="1:25">
      <c r="A333" t="s">
        <v>465</v>
      </c>
      <c r="B333" t="s">
        <v>461</v>
      </c>
      <c r="C333" t="s">
        <v>278</v>
      </c>
      <c r="D333" t="s">
        <v>45</v>
      </c>
      <c r="E333" t="s">
        <v>46</v>
      </c>
      <c r="F333" t="s">
        <v>47</v>
      </c>
      <c r="G333" t="s">
        <v>462</v>
      </c>
      <c r="H333" t="s">
        <v>280</v>
      </c>
      <c r="I333" t="s">
        <v>48</v>
      </c>
      <c r="J333" t="s">
        <v>49</v>
      </c>
      <c r="L333">
        <v>60</v>
      </c>
      <c r="M333">
        <v>20</v>
      </c>
      <c r="N333">
        <v>-0.04</v>
      </c>
      <c r="O333">
        <f t="shared" si="25"/>
        <v>0.0529857951580787</v>
      </c>
      <c r="P333">
        <v>1</v>
      </c>
      <c r="Q333">
        <v>0</v>
      </c>
      <c r="R333">
        <f t="shared" si="26"/>
        <v>333.15</v>
      </c>
      <c r="U333">
        <v>0.001987</v>
      </c>
      <c r="V333">
        <f t="shared" si="27"/>
        <v>1.04</v>
      </c>
      <c r="W333">
        <f t="shared" si="28"/>
        <v>0.96</v>
      </c>
      <c r="X333">
        <f t="shared" si="29"/>
        <v>0.923076923076923</v>
      </c>
      <c r="Y333">
        <v>273.15</v>
      </c>
    </row>
    <row r="334" spans="1:25">
      <c r="A334" t="s">
        <v>466</v>
      </c>
      <c r="B334" t="s">
        <v>467</v>
      </c>
      <c r="C334" t="s">
        <v>278</v>
      </c>
      <c r="D334" t="s">
        <v>25</v>
      </c>
      <c r="E334" t="s">
        <v>26</v>
      </c>
      <c r="F334" t="s">
        <v>27</v>
      </c>
      <c r="G334" t="s">
        <v>468</v>
      </c>
      <c r="H334" t="s">
        <v>280</v>
      </c>
      <c r="I334" t="s">
        <v>30</v>
      </c>
      <c r="J334" t="s">
        <v>31</v>
      </c>
      <c r="L334">
        <v>60</v>
      </c>
      <c r="M334">
        <v>20</v>
      </c>
      <c r="N334">
        <v>0.33</v>
      </c>
      <c r="O334">
        <f t="shared" si="25"/>
        <v>-0.453883387777033</v>
      </c>
      <c r="P334">
        <v>1</v>
      </c>
      <c r="Q334">
        <v>0</v>
      </c>
      <c r="R334">
        <f t="shared" si="26"/>
        <v>333.15</v>
      </c>
      <c r="U334">
        <v>0.001987</v>
      </c>
      <c r="V334">
        <f t="shared" si="27"/>
        <v>0.67</v>
      </c>
      <c r="W334">
        <f t="shared" si="28"/>
        <v>1.33</v>
      </c>
      <c r="X334">
        <f t="shared" si="29"/>
        <v>1.98507462686567</v>
      </c>
      <c r="Y334">
        <v>273.15</v>
      </c>
    </row>
    <row r="335" spans="1:25">
      <c r="A335" t="s">
        <v>469</v>
      </c>
      <c r="B335" t="s">
        <v>467</v>
      </c>
      <c r="C335" t="s">
        <v>278</v>
      </c>
      <c r="D335" t="s">
        <v>33</v>
      </c>
      <c r="E335" t="s">
        <v>34</v>
      </c>
      <c r="F335" t="s">
        <v>35</v>
      </c>
      <c r="G335" t="s">
        <v>468</v>
      </c>
      <c r="H335" t="s">
        <v>280</v>
      </c>
      <c r="I335" t="s">
        <v>36</v>
      </c>
      <c r="J335" t="s">
        <v>37</v>
      </c>
      <c r="L335">
        <v>60</v>
      </c>
      <c r="M335">
        <v>20</v>
      </c>
      <c r="N335">
        <v>-0.36</v>
      </c>
      <c r="O335">
        <f t="shared" si="25"/>
        <v>0.49897360393588</v>
      </c>
      <c r="P335">
        <v>1</v>
      </c>
      <c r="Q335">
        <v>0</v>
      </c>
      <c r="R335">
        <f t="shared" si="26"/>
        <v>333.15</v>
      </c>
      <c r="U335">
        <v>0.001987</v>
      </c>
      <c r="V335">
        <f t="shared" si="27"/>
        <v>1.36</v>
      </c>
      <c r="W335">
        <f t="shared" si="28"/>
        <v>0.64</v>
      </c>
      <c r="X335">
        <f t="shared" si="29"/>
        <v>0.470588235294118</v>
      </c>
      <c r="Y335">
        <v>273.15</v>
      </c>
    </row>
    <row r="336" spans="1:25">
      <c r="A336" t="s">
        <v>470</v>
      </c>
      <c r="B336" t="s">
        <v>467</v>
      </c>
      <c r="C336" t="s">
        <v>278</v>
      </c>
      <c r="D336" t="s">
        <v>39</v>
      </c>
      <c r="E336" t="s">
        <v>40</v>
      </c>
      <c r="F336" t="s">
        <v>41</v>
      </c>
      <c r="G336" t="s">
        <v>468</v>
      </c>
      <c r="H336" t="s">
        <v>280</v>
      </c>
      <c r="I336" t="s">
        <v>42</v>
      </c>
      <c r="J336" t="s">
        <v>43</v>
      </c>
      <c r="L336">
        <v>60</v>
      </c>
      <c r="M336">
        <v>20</v>
      </c>
      <c r="N336">
        <v>0.39</v>
      </c>
      <c r="O336">
        <f t="shared" si="25"/>
        <v>-0.545197755227652</v>
      </c>
      <c r="P336">
        <v>1</v>
      </c>
      <c r="Q336">
        <v>0</v>
      </c>
      <c r="R336">
        <f t="shared" si="26"/>
        <v>333.15</v>
      </c>
      <c r="U336">
        <v>0.001987</v>
      </c>
      <c r="V336">
        <f t="shared" si="27"/>
        <v>0.61</v>
      </c>
      <c r="W336">
        <f t="shared" si="28"/>
        <v>1.39</v>
      </c>
      <c r="X336">
        <f t="shared" si="29"/>
        <v>2.27868852459016</v>
      </c>
      <c r="Y336">
        <v>273.15</v>
      </c>
    </row>
    <row r="337" spans="1:25">
      <c r="A337" t="s">
        <v>471</v>
      </c>
      <c r="B337" t="s">
        <v>467</v>
      </c>
      <c r="C337" t="s">
        <v>278</v>
      </c>
      <c r="D337" t="s">
        <v>45</v>
      </c>
      <c r="E337" t="s">
        <v>46</v>
      </c>
      <c r="F337" t="s">
        <v>47</v>
      </c>
      <c r="G337" t="s">
        <v>468</v>
      </c>
      <c r="H337" t="s">
        <v>280</v>
      </c>
      <c r="I337" t="s">
        <v>48</v>
      </c>
      <c r="J337" t="s">
        <v>49</v>
      </c>
      <c r="L337">
        <v>60</v>
      </c>
      <c r="M337">
        <v>20</v>
      </c>
      <c r="N337">
        <v>0.31</v>
      </c>
      <c r="O337">
        <f t="shared" si="25"/>
        <v>-0.424382280154941</v>
      </c>
      <c r="P337">
        <v>1</v>
      </c>
      <c r="Q337">
        <v>0</v>
      </c>
      <c r="R337">
        <f t="shared" si="26"/>
        <v>333.15</v>
      </c>
      <c r="U337">
        <v>0.001987</v>
      </c>
      <c r="V337">
        <f t="shared" si="27"/>
        <v>0.69</v>
      </c>
      <c r="W337">
        <f t="shared" si="28"/>
        <v>1.31</v>
      </c>
      <c r="X337">
        <f t="shared" si="29"/>
        <v>1.89855072463768</v>
      </c>
      <c r="Y337">
        <v>273.15</v>
      </c>
    </row>
    <row r="338" spans="1:25">
      <c r="A338" t="s">
        <v>472</v>
      </c>
      <c r="B338" t="s">
        <v>473</v>
      </c>
      <c r="C338" t="s">
        <v>278</v>
      </c>
      <c r="D338" t="s">
        <v>25</v>
      </c>
      <c r="E338" t="s">
        <v>26</v>
      </c>
      <c r="F338" t="s">
        <v>27</v>
      </c>
      <c r="G338" t="s">
        <v>474</v>
      </c>
      <c r="H338" t="s">
        <v>280</v>
      </c>
      <c r="I338" t="s">
        <v>30</v>
      </c>
      <c r="J338" t="s">
        <v>31</v>
      </c>
      <c r="L338">
        <v>60</v>
      </c>
      <c r="M338">
        <v>20</v>
      </c>
      <c r="N338">
        <v>0</v>
      </c>
      <c r="O338">
        <f t="shared" si="25"/>
        <v>0</v>
      </c>
      <c r="P338">
        <v>0.43</v>
      </c>
      <c r="Q338">
        <v>0</v>
      </c>
      <c r="R338">
        <f t="shared" si="26"/>
        <v>333.15</v>
      </c>
      <c r="U338">
        <v>0.001987</v>
      </c>
      <c r="V338">
        <f t="shared" si="27"/>
        <v>1</v>
      </c>
      <c r="W338">
        <f t="shared" si="28"/>
        <v>1</v>
      </c>
      <c r="X338">
        <f t="shared" si="29"/>
        <v>1</v>
      </c>
      <c r="Y338">
        <v>273.15</v>
      </c>
    </row>
    <row r="339" spans="1:25">
      <c r="A339" t="s">
        <v>475</v>
      </c>
      <c r="B339" t="s">
        <v>473</v>
      </c>
      <c r="C339" t="s">
        <v>278</v>
      </c>
      <c r="D339" t="s">
        <v>33</v>
      </c>
      <c r="E339" t="s">
        <v>34</v>
      </c>
      <c r="F339" t="s">
        <v>35</v>
      </c>
      <c r="G339" t="s">
        <v>474</v>
      </c>
      <c r="H339" t="s">
        <v>280</v>
      </c>
      <c r="I339" t="s">
        <v>36</v>
      </c>
      <c r="J339" t="s">
        <v>37</v>
      </c>
      <c r="L339">
        <v>60</v>
      </c>
      <c r="M339">
        <v>20</v>
      </c>
      <c r="N339">
        <v>-0.02</v>
      </c>
      <c r="O339">
        <f t="shared" si="25"/>
        <v>0.0264822933491626</v>
      </c>
      <c r="P339">
        <v>0.33</v>
      </c>
      <c r="Q339">
        <v>0</v>
      </c>
      <c r="R339">
        <f t="shared" si="26"/>
        <v>333.15</v>
      </c>
      <c r="U339">
        <v>0.001987</v>
      </c>
      <c r="V339">
        <f t="shared" si="27"/>
        <v>1.02</v>
      </c>
      <c r="W339">
        <f t="shared" si="28"/>
        <v>0.98</v>
      </c>
      <c r="X339">
        <f t="shared" si="29"/>
        <v>0.96078431372549</v>
      </c>
      <c r="Y339">
        <v>273.15</v>
      </c>
    </row>
    <row r="340" spans="1:25">
      <c r="A340" t="s">
        <v>476</v>
      </c>
      <c r="B340" t="s">
        <v>473</v>
      </c>
      <c r="C340" t="s">
        <v>278</v>
      </c>
      <c r="D340" t="s">
        <v>39</v>
      </c>
      <c r="E340" t="s">
        <v>40</v>
      </c>
      <c r="F340" t="s">
        <v>41</v>
      </c>
      <c r="G340" t="s">
        <v>474</v>
      </c>
      <c r="H340" t="s">
        <v>280</v>
      </c>
      <c r="I340" t="s">
        <v>42</v>
      </c>
      <c r="J340" t="s">
        <v>43</v>
      </c>
      <c r="L340">
        <v>60</v>
      </c>
      <c r="M340">
        <v>20</v>
      </c>
      <c r="N340">
        <v>0.15</v>
      </c>
      <c r="O340">
        <f t="shared" si="25"/>
        <v>-0.200100581586898</v>
      </c>
      <c r="P340">
        <v>0.05</v>
      </c>
      <c r="Q340">
        <v>0</v>
      </c>
      <c r="R340">
        <f t="shared" si="26"/>
        <v>333.15</v>
      </c>
      <c r="U340">
        <v>0.001987</v>
      </c>
      <c r="V340">
        <f t="shared" si="27"/>
        <v>0.85</v>
      </c>
      <c r="W340">
        <f t="shared" si="28"/>
        <v>1.15</v>
      </c>
      <c r="X340">
        <f t="shared" si="29"/>
        <v>1.35294117647059</v>
      </c>
      <c r="Y340">
        <v>273.15</v>
      </c>
    </row>
    <row r="341" spans="1:25">
      <c r="A341" t="s">
        <v>477</v>
      </c>
      <c r="B341" t="s">
        <v>473</v>
      </c>
      <c r="C341" t="s">
        <v>278</v>
      </c>
      <c r="D341" t="s">
        <v>45</v>
      </c>
      <c r="E341" t="s">
        <v>46</v>
      </c>
      <c r="F341" t="s">
        <v>47</v>
      </c>
      <c r="G341" t="s">
        <v>474</v>
      </c>
      <c r="H341" t="s">
        <v>280</v>
      </c>
      <c r="I341" t="s">
        <v>48</v>
      </c>
      <c r="J341" t="s">
        <v>49</v>
      </c>
      <c r="L341">
        <v>60</v>
      </c>
      <c r="M341">
        <v>20</v>
      </c>
      <c r="N341">
        <v>0.22</v>
      </c>
      <c r="O341">
        <f t="shared" si="25"/>
        <v>-0.296106844031758</v>
      </c>
      <c r="P341">
        <v>0.08</v>
      </c>
      <c r="Q341">
        <v>0</v>
      </c>
      <c r="R341">
        <f t="shared" si="26"/>
        <v>333.15</v>
      </c>
      <c r="U341">
        <v>0.001987</v>
      </c>
      <c r="V341">
        <f t="shared" si="27"/>
        <v>0.78</v>
      </c>
      <c r="W341">
        <f t="shared" si="28"/>
        <v>1.22</v>
      </c>
      <c r="X341">
        <f t="shared" si="29"/>
        <v>1.56410256410256</v>
      </c>
      <c r="Y341">
        <v>273.15</v>
      </c>
    </row>
    <row r="342" spans="1:25">
      <c r="A342" t="s">
        <v>478</v>
      </c>
      <c r="B342" t="s">
        <v>479</v>
      </c>
      <c r="C342" t="s">
        <v>278</v>
      </c>
      <c r="D342" t="s">
        <v>25</v>
      </c>
      <c r="E342" t="s">
        <v>26</v>
      </c>
      <c r="F342" t="s">
        <v>27</v>
      </c>
      <c r="G342" t="s">
        <v>480</v>
      </c>
      <c r="H342" t="s">
        <v>280</v>
      </c>
      <c r="I342" t="s">
        <v>30</v>
      </c>
      <c r="J342" t="s">
        <v>31</v>
      </c>
      <c r="L342">
        <v>60</v>
      </c>
      <c r="M342">
        <v>20</v>
      </c>
      <c r="N342">
        <v>0</v>
      </c>
      <c r="O342">
        <f t="shared" si="25"/>
        <v>0</v>
      </c>
      <c r="P342">
        <v>0</v>
      </c>
      <c r="Q342">
        <v>0</v>
      </c>
      <c r="R342">
        <f t="shared" si="26"/>
        <v>333.15</v>
      </c>
      <c r="U342">
        <v>0.001987</v>
      </c>
      <c r="V342">
        <f t="shared" si="27"/>
        <v>1</v>
      </c>
      <c r="W342">
        <f t="shared" si="28"/>
        <v>1</v>
      </c>
      <c r="X342">
        <f t="shared" si="29"/>
        <v>1</v>
      </c>
      <c r="Y342">
        <v>273.15</v>
      </c>
    </row>
    <row r="343" spans="1:25">
      <c r="A343" t="s">
        <v>481</v>
      </c>
      <c r="B343" t="s">
        <v>479</v>
      </c>
      <c r="C343" t="s">
        <v>278</v>
      </c>
      <c r="D343" t="s">
        <v>33</v>
      </c>
      <c r="E343" t="s">
        <v>34</v>
      </c>
      <c r="F343" t="s">
        <v>35</v>
      </c>
      <c r="G343" t="s">
        <v>480</v>
      </c>
      <c r="H343" t="s">
        <v>280</v>
      </c>
      <c r="I343" t="s">
        <v>36</v>
      </c>
      <c r="J343" t="s">
        <v>37</v>
      </c>
      <c r="L343">
        <v>60</v>
      </c>
      <c r="M343">
        <v>20</v>
      </c>
      <c r="N343">
        <v>0</v>
      </c>
      <c r="O343">
        <f t="shared" si="25"/>
        <v>0</v>
      </c>
      <c r="P343">
        <v>0</v>
      </c>
      <c r="Q343">
        <v>0</v>
      </c>
      <c r="R343">
        <f t="shared" si="26"/>
        <v>333.15</v>
      </c>
      <c r="U343">
        <v>0.001987</v>
      </c>
      <c r="V343">
        <f t="shared" si="27"/>
        <v>1</v>
      </c>
      <c r="W343">
        <f t="shared" si="28"/>
        <v>1</v>
      </c>
      <c r="X343">
        <f t="shared" si="29"/>
        <v>1</v>
      </c>
      <c r="Y343">
        <v>273.15</v>
      </c>
    </row>
    <row r="344" spans="1:25">
      <c r="A344" t="s">
        <v>482</v>
      </c>
      <c r="B344" t="s">
        <v>479</v>
      </c>
      <c r="C344" t="s">
        <v>278</v>
      </c>
      <c r="D344" t="s">
        <v>39</v>
      </c>
      <c r="E344" t="s">
        <v>40</v>
      </c>
      <c r="F344" t="s">
        <v>41</v>
      </c>
      <c r="G344" t="s">
        <v>480</v>
      </c>
      <c r="H344" t="s">
        <v>280</v>
      </c>
      <c r="I344" t="s">
        <v>42</v>
      </c>
      <c r="J344" t="s">
        <v>43</v>
      </c>
      <c r="L344">
        <v>60</v>
      </c>
      <c r="M344">
        <v>20</v>
      </c>
      <c r="N344">
        <v>0</v>
      </c>
      <c r="O344">
        <f t="shared" si="25"/>
        <v>0</v>
      </c>
      <c r="P344">
        <v>0</v>
      </c>
      <c r="Q344">
        <v>0</v>
      </c>
      <c r="R344">
        <f t="shared" si="26"/>
        <v>333.15</v>
      </c>
      <c r="U344">
        <v>0.001987</v>
      </c>
      <c r="V344">
        <f t="shared" si="27"/>
        <v>1</v>
      </c>
      <c r="W344">
        <f t="shared" si="28"/>
        <v>1</v>
      </c>
      <c r="X344">
        <f t="shared" si="29"/>
        <v>1</v>
      </c>
      <c r="Y344">
        <v>273.15</v>
      </c>
    </row>
    <row r="345" spans="1:25">
      <c r="A345" t="s">
        <v>483</v>
      </c>
      <c r="B345" t="s">
        <v>479</v>
      </c>
      <c r="C345" t="s">
        <v>278</v>
      </c>
      <c r="D345" t="s">
        <v>45</v>
      </c>
      <c r="E345" t="s">
        <v>46</v>
      </c>
      <c r="F345" t="s">
        <v>47</v>
      </c>
      <c r="G345" t="s">
        <v>480</v>
      </c>
      <c r="H345" t="s">
        <v>280</v>
      </c>
      <c r="I345" t="s">
        <v>48</v>
      </c>
      <c r="J345" t="s">
        <v>49</v>
      </c>
      <c r="L345">
        <v>60</v>
      </c>
      <c r="M345">
        <v>20</v>
      </c>
      <c r="N345">
        <v>0</v>
      </c>
      <c r="O345">
        <f t="shared" si="25"/>
        <v>0</v>
      </c>
      <c r="P345">
        <v>0</v>
      </c>
      <c r="Q345">
        <v>0</v>
      </c>
      <c r="R345">
        <f t="shared" si="26"/>
        <v>333.15</v>
      </c>
      <c r="U345">
        <v>0.001987</v>
      </c>
      <c r="V345">
        <f t="shared" si="27"/>
        <v>1</v>
      </c>
      <c r="W345">
        <f t="shared" si="28"/>
        <v>1</v>
      </c>
      <c r="X345">
        <f t="shared" si="29"/>
        <v>1</v>
      </c>
      <c r="Y345">
        <v>273.15</v>
      </c>
    </row>
    <row r="346" spans="1:25">
      <c r="A346" t="s">
        <v>484</v>
      </c>
      <c r="B346" t="s">
        <v>485</v>
      </c>
      <c r="C346" t="s">
        <v>278</v>
      </c>
      <c r="D346" t="s">
        <v>25</v>
      </c>
      <c r="E346" t="s">
        <v>26</v>
      </c>
      <c r="F346" t="s">
        <v>27</v>
      </c>
      <c r="G346" t="s">
        <v>486</v>
      </c>
      <c r="H346" t="s">
        <v>280</v>
      </c>
      <c r="I346" t="s">
        <v>30</v>
      </c>
      <c r="J346" t="s">
        <v>31</v>
      </c>
      <c r="L346">
        <v>60</v>
      </c>
      <c r="M346">
        <v>20</v>
      </c>
      <c r="N346">
        <v>0</v>
      </c>
      <c r="O346">
        <f t="shared" si="25"/>
        <v>0</v>
      </c>
      <c r="P346">
        <v>0</v>
      </c>
      <c r="Q346">
        <v>0</v>
      </c>
      <c r="R346">
        <f t="shared" si="26"/>
        <v>333.15</v>
      </c>
      <c r="U346">
        <v>0.001987</v>
      </c>
      <c r="V346">
        <f t="shared" si="27"/>
        <v>1</v>
      </c>
      <c r="W346">
        <f t="shared" si="28"/>
        <v>1</v>
      </c>
      <c r="X346">
        <f t="shared" si="29"/>
        <v>1</v>
      </c>
      <c r="Y346">
        <v>273.15</v>
      </c>
    </row>
    <row r="347" spans="1:25">
      <c r="A347" t="s">
        <v>487</v>
      </c>
      <c r="B347" t="s">
        <v>485</v>
      </c>
      <c r="C347" t="s">
        <v>278</v>
      </c>
      <c r="D347" t="s">
        <v>33</v>
      </c>
      <c r="E347" t="s">
        <v>34</v>
      </c>
      <c r="F347" t="s">
        <v>35</v>
      </c>
      <c r="G347" t="s">
        <v>486</v>
      </c>
      <c r="H347" t="s">
        <v>280</v>
      </c>
      <c r="I347" t="s">
        <v>36</v>
      </c>
      <c r="J347" t="s">
        <v>37</v>
      </c>
      <c r="L347">
        <v>60</v>
      </c>
      <c r="M347">
        <v>20</v>
      </c>
      <c r="N347">
        <v>0</v>
      </c>
      <c r="O347">
        <f t="shared" si="25"/>
        <v>0</v>
      </c>
      <c r="P347">
        <v>0</v>
      </c>
      <c r="Q347">
        <v>0</v>
      </c>
      <c r="R347">
        <f t="shared" si="26"/>
        <v>333.15</v>
      </c>
      <c r="U347">
        <v>0.001987</v>
      </c>
      <c r="V347">
        <f t="shared" si="27"/>
        <v>1</v>
      </c>
      <c r="W347">
        <f t="shared" si="28"/>
        <v>1</v>
      </c>
      <c r="X347">
        <f t="shared" si="29"/>
        <v>1</v>
      </c>
      <c r="Y347">
        <v>273.15</v>
      </c>
    </row>
    <row r="348" spans="1:25">
      <c r="A348" t="s">
        <v>488</v>
      </c>
      <c r="B348" t="s">
        <v>485</v>
      </c>
      <c r="C348" t="s">
        <v>278</v>
      </c>
      <c r="D348" t="s">
        <v>39</v>
      </c>
      <c r="E348" t="s">
        <v>40</v>
      </c>
      <c r="F348" t="s">
        <v>41</v>
      </c>
      <c r="G348" t="s">
        <v>486</v>
      </c>
      <c r="H348" t="s">
        <v>280</v>
      </c>
      <c r="I348" t="s">
        <v>42</v>
      </c>
      <c r="J348" t="s">
        <v>43</v>
      </c>
      <c r="L348">
        <v>60</v>
      </c>
      <c r="M348">
        <v>20</v>
      </c>
      <c r="N348">
        <v>0</v>
      </c>
      <c r="O348">
        <f t="shared" si="25"/>
        <v>0</v>
      </c>
      <c r="P348">
        <v>0</v>
      </c>
      <c r="Q348">
        <v>0</v>
      </c>
      <c r="R348">
        <f t="shared" si="26"/>
        <v>333.15</v>
      </c>
      <c r="U348">
        <v>0.001987</v>
      </c>
      <c r="V348">
        <f t="shared" si="27"/>
        <v>1</v>
      </c>
      <c r="W348">
        <f t="shared" si="28"/>
        <v>1</v>
      </c>
      <c r="X348">
        <f t="shared" si="29"/>
        <v>1</v>
      </c>
      <c r="Y348">
        <v>273.15</v>
      </c>
    </row>
    <row r="349" spans="1:25">
      <c r="A349" t="s">
        <v>489</v>
      </c>
      <c r="B349" t="s">
        <v>485</v>
      </c>
      <c r="C349" t="s">
        <v>278</v>
      </c>
      <c r="D349" t="s">
        <v>45</v>
      </c>
      <c r="E349" t="s">
        <v>46</v>
      </c>
      <c r="F349" t="s">
        <v>47</v>
      </c>
      <c r="G349" t="s">
        <v>486</v>
      </c>
      <c r="H349" t="s">
        <v>280</v>
      </c>
      <c r="I349" t="s">
        <v>48</v>
      </c>
      <c r="J349" t="s">
        <v>49</v>
      </c>
      <c r="L349">
        <v>60</v>
      </c>
      <c r="M349">
        <v>20</v>
      </c>
      <c r="N349">
        <v>0</v>
      </c>
      <c r="O349">
        <f t="shared" si="25"/>
        <v>0</v>
      </c>
      <c r="P349">
        <v>0</v>
      </c>
      <c r="Q349">
        <v>0</v>
      </c>
      <c r="R349">
        <f t="shared" si="26"/>
        <v>333.15</v>
      </c>
      <c r="U349">
        <v>0.001987</v>
      </c>
      <c r="V349">
        <f t="shared" si="27"/>
        <v>1</v>
      </c>
      <c r="W349">
        <f t="shared" si="28"/>
        <v>1</v>
      </c>
      <c r="X349">
        <f t="shared" si="29"/>
        <v>1</v>
      </c>
      <c r="Y349">
        <v>273.15</v>
      </c>
    </row>
    <row r="350" spans="1:25">
      <c r="A350" t="s">
        <v>490</v>
      </c>
      <c r="B350" t="s">
        <v>491</v>
      </c>
      <c r="C350" t="s">
        <v>24</v>
      </c>
      <c r="D350" t="s">
        <v>25</v>
      </c>
      <c r="E350" t="s">
        <v>26</v>
      </c>
      <c r="F350" t="s">
        <v>27</v>
      </c>
      <c r="G350" t="s">
        <v>492</v>
      </c>
      <c r="H350" t="s">
        <v>29</v>
      </c>
      <c r="I350" t="s">
        <v>30</v>
      </c>
      <c r="J350" t="s">
        <v>31</v>
      </c>
      <c r="L350">
        <v>50</v>
      </c>
      <c r="M350">
        <v>60</v>
      </c>
      <c r="N350">
        <v>-0.46</v>
      </c>
      <c r="O350">
        <f t="shared" si="25"/>
        <v>0.638646210608556</v>
      </c>
      <c r="P350">
        <v>0.63</v>
      </c>
      <c r="Q350">
        <v>0</v>
      </c>
      <c r="R350">
        <f t="shared" si="26"/>
        <v>323.15</v>
      </c>
      <c r="U350">
        <v>0.001987</v>
      </c>
      <c r="V350">
        <f t="shared" si="27"/>
        <v>1.46</v>
      </c>
      <c r="W350">
        <f t="shared" si="28"/>
        <v>0.54</v>
      </c>
      <c r="X350">
        <f t="shared" si="29"/>
        <v>0.36986301369863</v>
      </c>
      <c r="Y350">
        <v>273.15</v>
      </c>
    </row>
    <row r="351" spans="1:25">
      <c r="A351" t="s">
        <v>493</v>
      </c>
      <c r="B351" t="s">
        <v>491</v>
      </c>
      <c r="C351" t="s">
        <v>24</v>
      </c>
      <c r="D351" t="s">
        <v>33</v>
      </c>
      <c r="E351" t="s">
        <v>34</v>
      </c>
      <c r="F351" t="s">
        <v>35</v>
      </c>
      <c r="G351" t="s">
        <v>492</v>
      </c>
      <c r="H351" t="s">
        <v>29</v>
      </c>
      <c r="I351" t="s">
        <v>36</v>
      </c>
      <c r="J351" t="s">
        <v>37</v>
      </c>
      <c r="L351">
        <v>50</v>
      </c>
      <c r="M351">
        <v>60</v>
      </c>
      <c r="N351">
        <v>-0.86</v>
      </c>
      <c r="O351">
        <f t="shared" si="25"/>
        <v>1.66091077049041</v>
      </c>
      <c r="P351">
        <v>1</v>
      </c>
      <c r="Q351">
        <v>0</v>
      </c>
      <c r="R351">
        <f t="shared" si="26"/>
        <v>323.15</v>
      </c>
      <c r="U351">
        <v>0.001987</v>
      </c>
      <c r="V351">
        <f t="shared" si="27"/>
        <v>1.86</v>
      </c>
      <c r="W351">
        <f t="shared" si="28"/>
        <v>0.14</v>
      </c>
      <c r="X351">
        <f t="shared" si="29"/>
        <v>0.0752688172043011</v>
      </c>
      <c r="Y351">
        <v>273.15</v>
      </c>
    </row>
    <row r="352" spans="1:25">
      <c r="A352" t="s">
        <v>494</v>
      </c>
      <c r="B352" t="s">
        <v>491</v>
      </c>
      <c r="C352" t="s">
        <v>24</v>
      </c>
      <c r="D352" t="s">
        <v>39</v>
      </c>
      <c r="E352" t="s">
        <v>40</v>
      </c>
      <c r="F352" t="s">
        <v>41</v>
      </c>
      <c r="G352" t="s">
        <v>492</v>
      </c>
      <c r="H352" t="s">
        <v>29</v>
      </c>
      <c r="I352" t="s">
        <v>42</v>
      </c>
      <c r="J352" t="s">
        <v>43</v>
      </c>
      <c r="L352">
        <v>50</v>
      </c>
      <c r="M352">
        <v>60</v>
      </c>
      <c r="N352">
        <v>0.9</v>
      </c>
      <c r="O352">
        <f t="shared" si="25"/>
        <v>-1.89062147130574</v>
      </c>
      <c r="P352">
        <v>0.42</v>
      </c>
      <c r="Q352">
        <v>0</v>
      </c>
      <c r="R352">
        <f t="shared" si="26"/>
        <v>323.15</v>
      </c>
      <c r="U352">
        <v>0.001987</v>
      </c>
      <c r="V352">
        <f t="shared" si="27"/>
        <v>0.1</v>
      </c>
      <c r="W352">
        <f t="shared" si="28"/>
        <v>1.9</v>
      </c>
      <c r="X352">
        <f t="shared" si="29"/>
        <v>19</v>
      </c>
      <c r="Y352">
        <v>273.15</v>
      </c>
    </row>
    <row r="353" spans="1:25">
      <c r="A353" t="s">
        <v>495</v>
      </c>
      <c r="B353" t="s">
        <v>491</v>
      </c>
      <c r="C353" t="s">
        <v>24</v>
      </c>
      <c r="D353" t="s">
        <v>45</v>
      </c>
      <c r="E353" t="s">
        <v>46</v>
      </c>
      <c r="F353" t="s">
        <v>47</v>
      </c>
      <c r="G353" t="s">
        <v>492</v>
      </c>
      <c r="H353" t="s">
        <v>29</v>
      </c>
      <c r="I353" t="s">
        <v>48</v>
      </c>
      <c r="J353" t="s">
        <v>49</v>
      </c>
      <c r="L353">
        <v>50</v>
      </c>
      <c r="M353">
        <v>60</v>
      </c>
      <c r="N353">
        <v>0.83</v>
      </c>
      <c r="O353">
        <f t="shared" si="25"/>
        <v>-1.52580251306181</v>
      </c>
      <c r="P353">
        <v>0.43</v>
      </c>
      <c r="Q353">
        <v>0</v>
      </c>
      <c r="R353">
        <f t="shared" si="26"/>
        <v>323.15</v>
      </c>
      <c r="U353">
        <v>0.001987</v>
      </c>
      <c r="V353">
        <f t="shared" si="27"/>
        <v>0.17</v>
      </c>
      <c r="W353">
        <f t="shared" si="28"/>
        <v>1.83</v>
      </c>
      <c r="X353">
        <f t="shared" si="29"/>
        <v>10.7647058823529</v>
      </c>
      <c r="Y353">
        <v>273.15</v>
      </c>
    </row>
    <row r="354" spans="1:25">
      <c r="A354" t="s">
        <v>496</v>
      </c>
      <c r="B354" t="s">
        <v>491</v>
      </c>
      <c r="C354" t="s">
        <v>497</v>
      </c>
      <c r="D354" t="s">
        <v>25</v>
      </c>
      <c r="E354" t="s">
        <v>26</v>
      </c>
      <c r="F354" t="s">
        <v>27</v>
      </c>
      <c r="G354" t="s">
        <v>492</v>
      </c>
      <c r="H354" t="s">
        <v>498</v>
      </c>
      <c r="I354" t="s">
        <v>30</v>
      </c>
      <c r="J354" t="s">
        <v>31</v>
      </c>
      <c r="L354">
        <v>40</v>
      </c>
      <c r="M354">
        <v>80</v>
      </c>
      <c r="N354">
        <v>0.37</v>
      </c>
      <c r="O354">
        <f t="shared" si="25"/>
        <v>-0.483376272671541</v>
      </c>
      <c r="P354">
        <v>0.34</v>
      </c>
      <c r="Q354">
        <v>0</v>
      </c>
      <c r="R354">
        <f t="shared" si="26"/>
        <v>313.15</v>
      </c>
      <c r="U354">
        <v>0.001987</v>
      </c>
      <c r="V354">
        <f t="shared" si="27"/>
        <v>0.63</v>
      </c>
      <c r="W354">
        <f t="shared" si="28"/>
        <v>1.37</v>
      </c>
      <c r="X354">
        <f t="shared" si="29"/>
        <v>2.17460317460317</v>
      </c>
      <c r="Y354">
        <v>273.15</v>
      </c>
    </row>
    <row r="355" spans="1:25">
      <c r="A355" t="s">
        <v>499</v>
      </c>
      <c r="B355" t="s">
        <v>491</v>
      </c>
      <c r="C355" t="s">
        <v>497</v>
      </c>
      <c r="D355" t="s">
        <v>33</v>
      </c>
      <c r="E355" t="s">
        <v>34</v>
      </c>
      <c r="F355" t="s">
        <v>35</v>
      </c>
      <c r="G355" t="s">
        <v>492</v>
      </c>
      <c r="H355" t="s">
        <v>498</v>
      </c>
      <c r="I355" t="s">
        <v>36</v>
      </c>
      <c r="J355" t="s">
        <v>37</v>
      </c>
      <c r="L355">
        <v>40</v>
      </c>
      <c r="M355">
        <v>80</v>
      </c>
      <c r="N355">
        <v>-0.45</v>
      </c>
      <c r="O355">
        <f t="shared" si="25"/>
        <v>0.603189187768624</v>
      </c>
      <c r="P355">
        <v>0.6</v>
      </c>
      <c r="Q355">
        <v>0</v>
      </c>
      <c r="R355">
        <f t="shared" si="26"/>
        <v>313.15</v>
      </c>
      <c r="U355">
        <v>0.001987</v>
      </c>
      <c r="V355">
        <f t="shared" si="27"/>
        <v>1.45</v>
      </c>
      <c r="W355">
        <f t="shared" si="28"/>
        <v>0.55</v>
      </c>
      <c r="X355">
        <f t="shared" si="29"/>
        <v>0.379310344827586</v>
      </c>
      <c r="Y355">
        <v>273.15</v>
      </c>
    </row>
    <row r="356" spans="1:25">
      <c r="A356" t="s">
        <v>500</v>
      </c>
      <c r="B356" t="s">
        <v>491</v>
      </c>
      <c r="C356" t="s">
        <v>497</v>
      </c>
      <c r="D356" t="s">
        <v>39</v>
      </c>
      <c r="E356" t="s">
        <v>40</v>
      </c>
      <c r="F356" t="s">
        <v>41</v>
      </c>
      <c r="G356" t="s">
        <v>492</v>
      </c>
      <c r="H356" t="s">
        <v>498</v>
      </c>
      <c r="I356" t="s">
        <v>42</v>
      </c>
      <c r="J356" t="s">
        <v>43</v>
      </c>
      <c r="L356">
        <v>40</v>
      </c>
      <c r="M356">
        <v>80</v>
      </c>
      <c r="N356">
        <v>0.9</v>
      </c>
      <c r="O356">
        <f t="shared" si="25"/>
        <v>-1.8321154687897</v>
      </c>
      <c r="P356">
        <v>0.64</v>
      </c>
      <c r="Q356">
        <v>0</v>
      </c>
      <c r="R356">
        <f t="shared" si="26"/>
        <v>313.15</v>
      </c>
      <c r="U356">
        <v>0.001987</v>
      </c>
      <c r="V356">
        <f t="shared" si="27"/>
        <v>0.1</v>
      </c>
      <c r="W356">
        <f t="shared" si="28"/>
        <v>1.9</v>
      </c>
      <c r="X356">
        <f t="shared" si="29"/>
        <v>19</v>
      </c>
      <c r="Y356">
        <v>273.15</v>
      </c>
    </row>
    <row r="357" spans="1:25">
      <c r="A357" t="s">
        <v>501</v>
      </c>
      <c r="B357" t="s">
        <v>491</v>
      </c>
      <c r="C357" t="s">
        <v>497</v>
      </c>
      <c r="D357" t="s">
        <v>45</v>
      </c>
      <c r="E357" t="s">
        <v>46</v>
      </c>
      <c r="F357" t="s">
        <v>47</v>
      </c>
      <c r="G357" t="s">
        <v>492</v>
      </c>
      <c r="H357" t="s">
        <v>498</v>
      </c>
      <c r="I357" t="s">
        <v>48</v>
      </c>
      <c r="J357" t="s">
        <v>49</v>
      </c>
      <c r="L357">
        <v>40</v>
      </c>
      <c r="M357">
        <v>80</v>
      </c>
      <c r="N357">
        <v>0.87</v>
      </c>
      <c r="O357">
        <f t="shared" si="25"/>
        <v>-1.65896174312084</v>
      </c>
      <c r="P357">
        <v>0.63</v>
      </c>
      <c r="Q357">
        <v>0</v>
      </c>
      <c r="R357">
        <f t="shared" si="26"/>
        <v>313.15</v>
      </c>
      <c r="U357">
        <v>0.001987</v>
      </c>
      <c r="V357">
        <f t="shared" si="27"/>
        <v>0.13</v>
      </c>
      <c r="W357">
        <f t="shared" si="28"/>
        <v>1.87</v>
      </c>
      <c r="X357">
        <f t="shared" si="29"/>
        <v>14.3846153846154</v>
      </c>
      <c r="Y357">
        <v>273.15</v>
      </c>
    </row>
    <row r="358" spans="1:25">
      <c r="A358" t="s">
        <v>502</v>
      </c>
      <c r="B358" t="s">
        <v>503</v>
      </c>
      <c r="C358" t="s">
        <v>497</v>
      </c>
      <c r="D358" t="s">
        <v>25</v>
      </c>
      <c r="E358" t="s">
        <v>26</v>
      </c>
      <c r="F358" t="s">
        <v>27</v>
      </c>
      <c r="G358" t="s">
        <v>504</v>
      </c>
      <c r="H358" t="s">
        <v>498</v>
      </c>
      <c r="I358" t="s">
        <v>30</v>
      </c>
      <c r="J358" t="s">
        <v>31</v>
      </c>
      <c r="L358">
        <v>40</v>
      </c>
      <c r="M358">
        <v>80</v>
      </c>
      <c r="N358">
        <v>-0.12</v>
      </c>
      <c r="O358">
        <f t="shared" si="25"/>
        <v>0.150058037509218</v>
      </c>
      <c r="P358">
        <v>0.18</v>
      </c>
      <c r="Q358">
        <v>0</v>
      </c>
      <c r="R358">
        <f t="shared" si="26"/>
        <v>313.15</v>
      </c>
      <c r="U358">
        <v>0.001987</v>
      </c>
      <c r="V358">
        <f t="shared" si="27"/>
        <v>1.12</v>
      </c>
      <c r="W358">
        <f t="shared" si="28"/>
        <v>0.88</v>
      </c>
      <c r="X358">
        <f t="shared" si="29"/>
        <v>0.785714285714286</v>
      </c>
      <c r="Y358">
        <v>273.15</v>
      </c>
    </row>
    <row r="359" spans="1:25">
      <c r="A359" t="s">
        <v>505</v>
      </c>
      <c r="B359" t="s">
        <v>503</v>
      </c>
      <c r="C359" t="s">
        <v>497</v>
      </c>
      <c r="D359" t="s">
        <v>33</v>
      </c>
      <c r="E359" t="s">
        <v>34</v>
      </c>
      <c r="F359" t="s">
        <v>35</v>
      </c>
      <c r="G359" t="s">
        <v>504</v>
      </c>
      <c r="H359" t="s">
        <v>498</v>
      </c>
      <c r="I359" t="s">
        <v>36</v>
      </c>
      <c r="J359" t="s">
        <v>37</v>
      </c>
      <c r="L359">
        <v>40</v>
      </c>
      <c r="M359">
        <v>80</v>
      </c>
      <c r="N359">
        <v>0.71</v>
      </c>
      <c r="O359">
        <f t="shared" si="25"/>
        <v>-1.10406314482083</v>
      </c>
      <c r="P359">
        <v>0.5</v>
      </c>
      <c r="Q359">
        <v>0</v>
      </c>
      <c r="R359">
        <f t="shared" si="26"/>
        <v>313.15</v>
      </c>
      <c r="U359">
        <v>0.001987</v>
      </c>
      <c r="V359">
        <f t="shared" si="27"/>
        <v>0.29</v>
      </c>
      <c r="W359">
        <f t="shared" si="28"/>
        <v>1.71</v>
      </c>
      <c r="X359">
        <f t="shared" si="29"/>
        <v>5.89655172413793</v>
      </c>
      <c r="Y359">
        <v>273.15</v>
      </c>
    </row>
    <row r="360" spans="1:25">
      <c r="A360" t="s">
        <v>506</v>
      </c>
      <c r="B360" t="s">
        <v>503</v>
      </c>
      <c r="C360" t="s">
        <v>497</v>
      </c>
      <c r="D360" t="s">
        <v>39</v>
      </c>
      <c r="E360" t="s">
        <v>40</v>
      </c>
      <c r="F360" t="s">
        <v>41</v>
      </c>
      <c r="G360" t="s">
        <v>504</v>
      </c>
      <c r="H360" t="s">
        <v>498</v>
      </c>
      <c r="I360" t="s">
        <v>42</v>
      </c>
      <c r="J360" t="s">
        <v>43</v>
      </c>
      <c r="L360">
        <v>40</v>
      </c>
      <c r="M360">
        <v>80</v>
      </c>
      <c r="N360">
        <v>-0.65</v>
      </c>
      <c r="O360">
        <f t="shared" si="25"/>
        <v>0.964826754857058</v>
      </c>
      <c r="P360">
        <v>0.22</v>
      </c>
      <c r="Q360">
        <v>0</v>
      </c>
      <c r="R360">
        <f t="shared" si="26"/>
        <v>313.15</v>
      </c>
      <c r="U360">
        <v>0.001987</v>
      </c>
      <c r="V360">
        <f t="shared" si="27"/>
        <v>1.65</v>
      </c>
      <c r="W360">
        <f t="shared" si="28"/>
        <v>0.35</v>
      </c>
      <c r="X360">
        <f t="shared" si="29"/>
        <v>0.212121212121212</v>
      </c>
      <c r="Y360">
        <v>273.15</v>
      </c>
    </row>
    <row r="361" spans="1:25">
      <c r="A361" t="s">
        <v>507</v>
      </c>
      <c r="B361" t="s">
        <v>503</v>
      </c>
      <c r="C361" t="s">
        <v>497</v>
      </c>
      <c r="D361" t="s">
        <v>45</v>
      </c>
      <c r="E361" t="s">
        <v>46</v>
      </c>
      <c r="F361" t="s">
        <v>47</v>
      </c>
      <c r="G361" t="s">
        <v>504</v>
      </c>
      <c r="H361" t="s">
        <v>498</v>
      </c>
      <c r="I361" t="s">
        <v>48</v>
      </c>
      <c r="J361" t="s">
        <v>49</v>
      </c>
      <c r="L361">
        <v>40</v>
      </c>
      <c r="M361">
        <v>80</v>
      </c>
      <c r="N361">
        <v>-0.64</v>
      </c>
      <c r="O361">
        <f t="shared" si="25"/>
        <v>0.943515457779391</v>
      </c>
      <c r="P361">
        <v>0.26</v>
      </c>
      <c r="Q361">
        <v>0</v>
      </c>
      <c r="R361">
        <f t="shared" si="26"/>
        <v>313.15</v>
      </c>
      <c r="U361">
        <v>0.001987</v>
      </c>
      <c r="V361">
        <f t="shared" si="27"/>
        <v>1.64</v>
      </c>
      <c r="W361">
        <f t="shared" si="28"/>
        <v>0.36</v>
      </c>
      <c r="X361">
        <f t="shared" si="29"/>
        <v>0.219512195121951</v>
      </c>
      <c r="Y361">
        <v>273.15</v>
      </c>
    </row>
    <row r="362" spans="1:25">
      <c r="A362" t="s">
        <v>508</v>
      </c>
      <c r="B362" t="s">
        <v>509</v>
      </c>
      <c r="C362" t="s">
        <v>497</v>
      </c>
      <c r="D362" t="s">
        <v>25</v>
      </c>
      <c r="E362" t="s">
        <v>26</v>
      </c>
      <c r="F362" t="s">
        <v>27</v>
      </c>
      <c r="G362" t="s">
        <v>510</v>
      </c>
      <c r="H362" t="s">
        <v>498</v>
      </c>
      <c r="I362" t="s">
        <v>30</v>
      </c>
      <c r="J362" t="s">
        <v>31</v>
      </c>
      <c r="L362">
        <v>40</v>
      </c>
      <c r="M362">
        <v>80</v>
      </c>
      <c r="N362">
        <v>0</v>
      </c>
      <c r="O362">
        <f t="shared" si="25"/>
        <v>0</v>
      </c>
      <c r="P362">
        <v>0</v>
      </c>
      <c r="Q362">
        <v>0</v>
      </c>
      <c r="R362">
        <f t="shared" si="26"/>
        <v>313.15</v>
      </c>
      <c r="U362">
        <v>0.001987</v>
      </c>
      <c r="V362">
        <f t="shared" si="27"/>
        <v>1</v>
      </c>
      <c r="W362">
        <f t="shared" si="28"/>
        <v>1</v>
      </c>
      <c r="X362">
        <f t="shared" si="29"/>
        <v>1</v>
      </c>
      <c r="Y362">
        <v>273.15</v>
      </c>
    </row>
    <row r="363" spans="1:25">
      <c r="A363" t="s">
        <v>511</v>
      </c>
      <c r="B363" t="s">
        <v>509</v>
      </c>
      <c r="C363" t="s">
        <v>497</v>
      </c>
      <c r="D363" t="s">
        <v>33</v>
      </c>
      <c r="E363" t="s">
        <v>34</v>
      </c>
      <c r="F363" t="s">
        <v>35</v>
      </c>
      <c r="G363" t="s">
        <v>510</v>
      </c>
      <c r="H363" t="s">
        <v>498</v>
      </c>
      <c r="I363" t="s">
        <v>36</v>
      </c>
      <c r="J363" t="s">
        <v>37</v>
      </c>
      <c r="L363">
        <v>40</v>
      </c>
      <c r="M363">
        <v>80</v>
      </c>
      <c r="N363">
        <v>0</v>
      </c>
      <c r="O363">
        <f t="shared" si="25"/>
        <v>0</v>
      </c>
      <c r="P363">
        <v>0</v>
      </c>
      <c r="Q363">
        <v>0</v>
      </c>
      <c r="R363">
        <f t="shared" si="26"/>
        <v>313.15</v>
      </c>
      <c r="U363">
        <v>0.001987</v>
      </c>
      <c r="V363">
        <f t="shared" si="27"/>
        <v>1</v>
      </c>
      <c r="W363">
        <f t="shared" si="28"/>
        <v>1</v>
      </c>
      <c r="X363">
        <f t="shared" si="29"/>
        <v>1</v>
      </c>
      <c r="Y363">
        <v>273.15</v>
      </c>
    </row>
    <row r="364" spans="1:25">
      <c r="A364" t="s">
        <v>512</v>
      </c>
      <c r="B364" t="s">
        <v>509</v>
      </c>
      <c r="C364" t="s">
        <v>497</v>
      </c>
      <c r="D364" t="s">
        <v>39</v>
      </c>
      <c r="E364" t="s">
        <v>40</v>
      </c>
      <c r="F364" t="s">
        <v>41</v>
      </c>
      <c r="G364" t="s">
        <v>510</v>
      </c>
      <c r="H364" t="s">
        <v>498</v>
      </c>
      <c r="I364" t="s">
        <v>42</v>
      </c>
      <c r="J364" t="s">
        <v>43</v>
      </c>
      <c r="L364">
        <v>40</v>
      </c>
      <c r="M364">
        <v>80</v>
      </c>
      <c r="N364">
        <v>0</v>
      </c>
      <c r="O364">
        <f t="shared" si="25"/>
        <v>0</v>
      </c>
      <c r="P364">
        <v>0</v>
      </c>
      <c r="Q364">
        <v>0</v>
      </c>
      <c r="R364">
        <f t="shared" si="26"/>
        <v>313.15</v>
      </c>
      <c r="U364">
        <v>0.001987</v>
      </c>
      <c r="V364">
        <f t="shared" si="27"/>
        <v>1</v>
      </c>
      <c r="W364">
        <f t="shared" si="28"/>
        <v>1</v>
      </c>
      <c r="X364">
        <f t="shared" si="29"/>
        <v>1</v>
      </c>
      <c r="Y364">
        <v>273.15</v>
      </c>
    </row>
    <row r="365" spans="1:25">
      <c r="A365" t="s">
        <v>513</v>
      </c>
      <c r="B365" t="s">
        <v>509</v>
      </c>
      <c r="C365" t="s">
        <v>497</v>
      </c>
      <c r="D365" t="s">
        <v>45</v>
      </c>
      <c r="E365" t="s">
        <v>46</v>
      </c>
      <c r="F365" t="s">
        <v>47</v>
      </c>
      <c r="G365" t="s">
        <v>510</v>
      </c>
      <c r="H365" t="s">
        <v>498</v>
      </c>
      <c r="I365" t="s">
        <v>48</v>
      </c>
      <c r="J365" t="s">
        <v>49</v>
      </c>
      <c r="L365">
        <v>40</v>
      </c>
      <c r="M365">
        <v>80</v>
      </c>
      <c r="N365">
        <v>0</v>
      </c>
      <c r="O365">
        <f t="shared" si="25"/>
        <v>0</v>
      </c>
      <c r="P365">
        <v>0</v>
      </c>
      <c r="Q365">
        <v>0</v>
      </c>
      <c r="R365">
        <f t="shared" si="26"/>
        <v>313.15</v>
      </c>
      <c r="U365">
        <v>0.001987</v>
      </c>
      <c r="V365">
        <f t="shared" si="27"/>
        <v>1</v>
      </c>
      <c r="W365">
        <f t="shared" si="28"/>
        <v>1</v>
      </c>
      <c r="X365">
        <f t="shared" si="29"/>
        <v>1</v>
      </c>
      <c r="Y365">
        <v>273.15</v>
      </c>
    </row>
    <row r="366" spans="1:25">
      <c r="A366" t="s">
        <v>514</v>
      </c>
      <c r="B366" t="s">
        <v>515</v>
      </c>
      <c r="C366" t="s">
        <v>24</v>
      </c>
      <c r="D366" t="s">
        <v>25</v>
      </c>
      <c r="E366" t="s">
        <v>26</v>
      </c>
      <c r="F366" t="s">
        <v>27</v>
      </c>
      <c r="G366" t="s">
        <v>516</v>
      </c>
      <c r="H366" t="s">
        <v>29</v>
      </c>
      <c r="I366" t="s">
        <v>30</v>
      </c>
      <c r="J366" t="s">
        <v>31</v>
      </c>
      <c r="L366">
        <v>50</v>
      </c>
      <c r="M366">
        <v>60</v>
      </c>
      <c r="N366">
        <v>0</v>
      </c>
      <c r="O366">
        <f t="shared" si="25"/>
        <v>0</v>
      </c>
      <c r="P366">
        <v>0</v>
      </c>
      <c r="Q366">
        <v>0</v>
      </c>
      <c r="R366">
        <f t="shared" si="26"/>
        <v>323.15</v>
      </c>
      <c r="U366">
        <v>0.001987</v>
      </c>
      <c r="V366">
        <f t="shared" si="27"/>
        <v>1</v>
      </c>
      <c r="W366">
        <f t="shared" si="28"/>
        <v>1</v>
      </c>
      <c r="X366">
        <f t="shared" si="29"/>
        <v>1</v>
      </c>
      <c r="Y366">
        <v>273.15</v>
      </c>
    </row>
    <row r="367" spans="1:25">
      <c r="A367" t="s">
        <v>517</v>
      </c>
      <c r="B367" t="s">
        <v>515</v>
      </c>
      <c r="C367" t="s">
        <v>24</v>
      </c>
      <c r="D367" t="s">
        <v>33</v>
      </c>
      <c r="E367" t="s">
        <v>34</v>
      </c>
      <c r="F367" t="s">
        <v>35</v>
      </c>
      <c r="G367" t="s">
        <v>516</v>
      </c>
      <c r="H367" t="s">
        <v>29</v>
      </c>
      <c r="I367" t="s">
        <v>36</v>
      </c>
      <c r="J367" t="s">
        <v>37</v>
      </c>
      <c r="L367">
        <v>50</v>
      </c>
      <c r="M367">
        <v>60</v>
      </c>
      <c r="N367">
        <v>0</v>
      </c>
      <c r="O367">
        <f t="shared" si="25"/>
        <v>0</v>
      </c>
      <c r="P367">
        <v>0</v>
      </c>
      <c r="Q367">
        <v>0</v>
      </c>
      <c r="R367">
        <f t="shared" si="26"/>
        <v>323.15</v>
      </c>
      <c r="U367">
        <v>0.001987</v>
      </c>
      <c r="V367">
        <f t="shared" si="27"/>
        <v>1</v>
      </c>
      <c r="W367">
        <f t="shared" si="28"/>
        <v>1</v>
      </c>
      <c r="X367">
        <f t="shared" si="29"/>
        <v>1</v>
      </c>
      <c r="Y367">
        <v>273.15</v>
      </c>
    </row>
    <row r="368" spans="1:25">
      <c r="A368" t="s">
        <v>518</v>
      </c>
      <c r="B368" t="s">
        <v>515</v>
      </c>
      <c r="C368" t="s">
        <v>24</v>
      </c>
      <c r="D368" t="s">
        <v>39</v>
      </c>
      <c r="E368" t="s">
        <v>40</v>
      </c>
      <c r="F368" t="s">
        <v>41</v>
      </c>
      <c r="G368" t="s">
        <v>516</v>
      </c>
      <c r="H368" t="s">
        <v>29</v>
      </c>
      <c r="I368" t="s">
        <v>42</v>
      </c>
      <c r="J368" t="s">
        <v>43</v>
      </c>
      <c r="L368">
        <v>50</v>
      </c>
      <c r="M368">
        <v>60</v>
      </c>
      <c r="N368">
        <v>0</v>
      </c>
      <c r="O368">
        <f t="shared" si="25"/>
        <v>0</v>
      </c>
      <c r="P368">
        <v>0</v>
      </c>
      <c r="Q368">
        <v>0</v>
      </c>
      <c r="R368">
        <f t="shared" si="26"/>
        <v>323.15</v>
      </c>
      <c r="U368">
        <v>0.001987</v>
      </c>
      <c r="V368">
        <f t="shared" si="27"/>
        <v>1</v>
      </c>
      <c r="W368">
        <f t="shared" si="28"/>
        <v>1</v>
      </c>
      <c r="X368">
        <f t="shared" si="29"/>
        <v>1</v>
      </c>
      <c r="Y368">
        <v>273.15</v>
      </c>
    </row>
    <row r="369" spans="1:25">
      <c r="A369" t="s">
        <v>519</v>
      </c>
      <c r="B369" t="s">
        <v>515</v>
      </c>
      <c r="C369" t="s">
        <v>24</v>
      </c>
      <c r="D369" t="s">
        <v>45</v>
      </c>
      <c r="E369" t="s">
        <v>46</v>
      </c>
      <c r="F369" t="s">
        <v>47</v>
      </c>
      <c r="G369" t="s">
        <v>516</v>
      </c>
      <c r="H369" t="s">
        <v>29</v>
      </c>
      <c r="I369" t="s">
        <v>48</v>
      </c>
      <c r="J369" t="s">
        <v>49</v>
      </c>
      <c r="L369">
        <v>50</v>
      </c>
      <c r="M369">
        <v>60</v>
      </c>
      <c r="N369">
        <v>0</v>
      </c>
      <c r="O369">
        <f t="shared" si="25"/>
        <v>0</v>
      </c>
      <c r="P369">
        <v>0</v>
      </c>
      <c r="Q369">
        <v>0</v>
      </c>
      <c r="R369">
        <f t="shared" si="26"/>
        <v>323.15</v>
      </c>
      <c r="U369">
        <v>0.001987</v>
      </c>
      <c r="V369">
        <f t="shared" si="27"/>
        <v>1</v>
      </c>
      <c r="W369">
        <f t="shared" si="28"/>
        <v>1</v>
      </c>
      <c r="X369">
        <f t="shared" si="29"/>
        <v>1</v>
      </c>
      <c r="Y369">
        <v>273.15</v>
      </c>
    </row>
    <row r="370" spans="1:25">
      <c r="A370" t="s">
        <v>520</v>
      </c>
      <c r="B370" t="s">
        <v>521</v>
      </c>
      <c r="C370" t="s">
        <v>24</v>
      </c>
      <c r="D370" t="s">
        <v>25</v>
      </c>
      <c r="E370" t="s">
        <v>26</v>
      </c>
      <c r="F370" t="s">
        <v>27</v>
      </c>
      <c r="G370" t="s">
        <v>522</v>
      </c>
      <c r="H370" t="s">
        <v>29</v>
      </c>
      <c r="I370" t="s">
        <v>30</v>
      </c>
      <c r="J370" t="s">
        <v>31</v>
      </c>
      <c r="L370">
        <v>50</v>
      </c>
      <c r="M370">
        <v>60</v>
      </c>
      <c r="N370">
        <v>0</v>
      </c>
      <c r="O370">
        <f t="shared" si="25"/>
        <v>0</v>
      </c>
      <c r="P370">
        <v>0</v>
      </c>
      <c r="Q370">
        <v>0</v>
      </c>
      <c r="R370">
        <f t="shared" si="26"/>
        <v>323.15</v>
      </c>
      <c r="U370">
        <v>0.001987</v>
      </c>
      <c r="V370">
        <f t="shared" si="27"/>
        <v>1</v>
      </c>
      <c r="W370">
        <f t="shared" si="28"/>
        <v>1</v>
      </c>
      <c r="X370">
        <f t="shared" si="29"/>
        <v>1</v>
      </c>
      <c r="Y370">
        <v>273.15</v>
      </c>
    </row>
    <row r="371" spans="1:25">
      <c r="A371" t="s">
        <v>523</v>
      </c>
      <c r="B371" t="s">
        <v>521</v>
      </c>
      <c r="C371" t="s">
        <v>24</v>
      </c>
      <c r="D371" t="s">
        <v>33</v>
      </c>
      <c r="E371" t="s">
        <v>34</v>
      </c>
      <c r="F371" t="s">
        <v>35</v>
      </c>
      <c r="G371" t="s">
        <v>522</v>
      </c>
      <c r="H371" t="s">
        <v>29</v>
      </c>
      <c r="I371" t="s">
        <v>36</v>
      </c>
      <c r="J371" t="s">
        <v>37</v>
      </c>
      <c r="L371">
        <v>50</v>
      </c>
      <c r="M371">
        <v>60</v>
      </c>
      <c r="N371">
        <v>0</v>
      </c>
      <c r="O371">
        <f t="shared" si="25"/>
        <v>0</v>
      </c>
      <c r="P371">
        <v>0</v>
      </c>
      <c r="Q371">
        <v>0</v>
      </c>
      <c r="R371">
        <f t="shared" si="26"/>
        <v>323.15</v>
      </c>
      <c r="U371">
        <v>0.001987</v>
      </c>
      <c r="V371">
        <f t="shared" si="27"/>
        <v>1</v>
      </c>
      <c r="W371">
        <f t="shared" si="28"/>
        <v>1</v>
      </c>
      <c r="X371">
        <f t="shared" si="29"/>
        <v>1</v>
      </c>
      <c r="Y371">
        <v>273.15</v>
      </c>
    </row>
    <row r="372" spans="1:25">
      <c r="A372" t="s">
        <v>524</v>
      </c>
      <c r="B372" t="s">
        <v>521</v>
      </c>
      <c r="C372" t="s">
        <v>24</v>
      </c>
      <c r="D372" t="s">
        <v>39</v>
      </c>
      <c r="E372" t="s">
        <v>40</v>
      </c>
      <c r="F372" t="s">
        <v>41</v>
      </c>
      <c r="G372" t="s">
        <v>522</v>
      </c>
      <c r="H372" t="s">
        <v>29</v>
      </c>
      <c r="I372" t="s">
        <v>42</v>
      </c>
      <c r="J372" t="s">
        <v>43</v>
      </c>
      <c r="L372">
        <v>50</v>
      </c>
      <c r="M372">
        <v>60</v>
      </c>
      <c r="N372">
        <v>0</v>
      </c>
      <c r="O372">
        <f t="shared" si="25"/>
        <v>0</v>
      </c>
      <c r="P372">
        <v>0</v>
      </c>
      <c r="Q372">
        <v>0</v>
      </c>
      <c r="R372">
        <f t="shared" si="26"/>
        <v>323.15</v>
      </c>
      <c r="U372">
        <v>0.001987</v>
      </c>
      <c r="V372">
        <f t="shared" si="27"/>
        <v>1</v>
      </c>
      <c r="W372">
        <f t="shared" si="28"/>
        <v>1</v>
      </c>
      <c r="X372">
        <f t="shared" si="29"/>
        <v>1</v>
      </c>
      <c r="Y372">
        <v>273.15</v>
      </c>
    </row>
    <row r="373" spans="1:25">
      <c r="A373" t="s">
        <v>525</v>
      </c>
      <c r="B373" t="s">
        <v>521</v>
      </c>
      <c r="C373" t="s">
        <v>24</v>
      </c>
      <c r="D373" t="s">
        <v>45</v>
      </c>
      <c r="E373" t="s">
        <v>46</v>
      </c>
      <c r="F373" t="s">
        <v>47</v>
      </c>
      <c r="G373" t="s">
        <v>522</v>
      </c>
      <c r="H373" t="s">
        <v>29</v>
      </c>
      <c r="I373" t="s">
        <v>48</v>
      </c>
      <c r="J373" t="s">
        <v>49</v>
      </c>
      <c r="L373">
        <v>50</v>
      </c>
      <c r="M373">
        <v>60</v>
      </c>
      <c r="N373">
        <v>0</v>
      </c>
      <c r="O373">
        <f t="shared" si="25"/>
        <v>0</v>
      </c>
      <c r="P373">
        <v>0</v>
      </c>
      <c r="Q373">
        <v>0</v>
      </c>
      <c r="R373">
        <f t="shared" si="26"/>
        <v>323.15</v>
      </c>
      <c r="U373">
        <v>0.001987</v>
      </c>
      <c r="V373">
        <f t="shared" si="27"/>
        <v>1</v>
      </c>
      <c r="W373">
        <f t="shared" si="28"/>
        <v>1</v>
      </c>
      <c r="X373">
        <f t="shared" si="29"/>
        <v>1</v>
      </c>
      <c r="Y373">
        <v>273.15</v>
      </c>
    </row>
    <row r="374" spans="1:25">
      <c r="A374" t="s">
        <v>526</v>
      </c>
      <c r="B374" t="s">
        <v>527</v>
      </c>
      <c r="C374" t="s">
        <v>24</v>
      </c>
      <c r="D374" t="s">
        <v>25</v>
      </c>
      <c r="E374" t="s">
        <v>26</v>
      </c>
      <c r="F374" t="s">
        <v>27</v>
      </c>
      <c r="G374" t="s">
        <v>528</v>
      </c>
      <c r="H374" t="s">
        <v>29</v>
      </c>
      <c r="I374" t="s">
        <v>30</v>
      </c>
      <c r="J374" t="s">
        <v>31</v>
      </c>
      <c r="L374">
        <v>50</v>
      </c>
      <c r="M374">
        <v>60</v>
      </c>
      <c r="N374">
        <v>0</v>
      </c>
      <c r="O374">
        <f t="shared" si="25"/>
        <v>0</v>
      </c>
      <c r="P374">
        <v>0</v>
      </c>
      <c r="Q374">
        <v>0</v>
      </c>
      <c r="R374">
        <f t="shared" si="26"/>
        <v>323.15</v>
      </c>
      <c r="U374">
        <v>0.001987</v>
      </c>
      <c r="V374">
        <f t="shared" si="27"/>
        <v>1</v>
      </c>
      <c r="W374">
        <f t="shared" si="28"/>
        <v>1</v>
      </c>
      <c r="X374">
        <f t="shared" si="29"/>
        <v>1</v>
      </c>
      <c r="Y374">
        <v>273.15</v>
      </c>
    </row>
    <row r="375" spans="1:25">
      <c r="A375" t="s">
        <v>529</v>
      </c>
      <c r="B375" t="s">
        <v>527</v>
      </c>
      <c r="C375" t="s">
        <v>24</v>
      </c>
      <c r="D375" t="s">
        <v>33</v>
      </c>
      <c r="E375" t="s">
        <v>34</v>
      </c>
      <c r="F375" t="s">
        <v>35</v>
      </c>
      <c r="G375" t="s">
        <v>528</v>
      </c>
      <c r="H375" t="s">
        <v>29</v>
      </c>
      <c r="I375" t="s">
        <v>36</v>
      </c>
      <c r="J375" t="s">
        <v>37</v>
      </c>
      <c r="L375">
        <v>50</v>
      </c>
      <c r="M375">
        <v>60</v>
      </c>
      <c r="N375">
        <v>0</v>
      </c>
      <c r="O375">
        <f t="shared" si="25"/>
        <v>0</v>
      </c>
      <c r="P375">
        <v>0</v>
      </c>
      <c r="Q375">
        <v>0</v>
      </c>
      <c r="R375">
        <f t="shared" si="26"/>
        <v>323.15</v>
      </c>
      <c r="U375">
        <v>0.001987</v>
      </c>
      <c r="V375">
        <f t="shared" si="27"/>
        <v>1</v>
      </c>
      <c r="W375">
        <f t="shared" si="28"/>
        <v>1</v>
      </c>
      <c r="X375">
        <f t="shared" si="29"/>
        <v>1</v>
      </c>
      <c r="Y375">
        <v>273.15</v>
      </c>
    </row>
    <row r="376" spans="1:25">
      <c r="A376" t="s">
        <v>530</v>
      </c>
      <c r="B376" t="s">
        <v>527</v>
      </c>
      <c r="C376" t="s">
        <v>24</v>
      </c>
      <c r="D376" t="s">
        <v>39</v>
      </c>
      <c r="E376" t="s">
        <v>40</v>
      </c>
      <c r="F376" t="s">
        <v>41</v>
      </c>
      <c r="G376" t="s">
        <v>528</v>
      </c>
      <c r="H376" t="s">
        <v>29</v>
      </c>
      <c r="I376" t="s">
        <v>42</v>
      </c>
      <c r="J376" t="s">
        <v>43</v>
      </c>
      <c r="L376">
        <v>50</v>
      </c>
      <c r="M376">
        <v>60</v>
      </c>
      <c r="N376">
        <v>0</v>
      </c>
      <c r="O376">
        <f t="shared" si="25"/>
        <v>0</v>
      </c>
      <c r="P376">
        <v>0</v>
      </c>
      <c r="Q376">
        <v>0</v>
      </c>
      <c r="R376">
        <f t="shared" si="26"/>
        <v>323.15</v>
      </c>
      <c r="U376">
        <v>0.001987</v>
      </c>
      <c r="V376">
        <f t="shared" si="27"/>
        <v>1</v>
      </c>
      <c r="W376">
        <f t="shared" si="28"/>
        <v>1</v>
      </c>
      <c r="X376">
        <f t="shared" si="29"/>
        <v>1</v>
      </c>
      <c r="Y376">
        <v>273.15</v>
      </c>
    </row>
    <row r="377" spans="1:25">
      <c r="A377" t="s">
        <v>531</v>
      </c>
      <c r="B377" t="s">
        <v>527</v>
      </c>
      <c r="C377" t="s">
        <v>24</v>
      </c>
      <c r="D377" t="s">
        <v>45</v>
      </c>
      <c r="E377" t="s">
        <v>46</v>
      </c>
      <c r="F377" t="s">
        <v>47</v>
      </c>
      <c r="G377" t="s">
        <v>528</v>
      </c>
      <c r="H377" t="s">
        <v>29</v>
      </c>
      <c r="I377" t="s">
        <v>48</v>
      </c>
      <c r="J377" t="s">
        <v>49</v>
      </c>
      <c r="L377">
        <v>50</v>
      </c>
      <c r="M377">
        <v>60</v>
      </c>
      <c r="N377">
        <v>0</v>
      </c>
      <c r="O377">
        <f t="shared" si="25"/>
        <v>0</v>
      </c>
      <c r="P377">
        <v>0</v>
      </c>
      <c r="Q377">
        <v>0</v>
      </c>
      <c r="R377">
        <f t="shared" si="26"/>
        <v>323.15</v>
      </c>
      <c r="U377">
        <v>0.001987</v>
      </c>
      <c r="V377">
        <f t="shared" si="27"/>
        <v>1</v>
      </c>
      <c r="W377">
        <f t="shared" si="28"/>
        <v>1</v>
      </c>
      <c r="X377">
        <f t="shared" si="29"/>
        <v>1</v>
      </c>
      <c r="Y377">
        <v>273.15</v>
      </c>
    </row>
    <row r="378" spans="1:25">
      <c r="A378" t="s">
        <v>532</v>
      </c>
      <c r="B378" t="s">
        <v>533</v>
      </c>
      <c r="C378" t="s">
        <v>24</v>
      </c>
      <c r="D378" t="s">
        <v>25</v>
      </c>
      <c r="E378" t="s">
        <v>26</v>
      </c>
      <c r="F378" t="s">
        <v>27</v>
      </c>
      <c r="G378" t="s">
        <v>534</v>
      </c>
      <c r="H378" t="s">
        <v>29</v>
      </c>
      <c r="I378" t="s">
        <v>30</v>
      </c>
      <c r="J378" t="s">
        <v>31</v>
      </c>
      <c r="L378">
        <v>50</v>
      </c>
      <c r="M378">
        <v>60</v>
      </c>
      <c r="N378">
        <v>0</v>
      </c>
      <c r="O378">
        <f t="shared" si="25"/>
        <v>0</v>
      </c>
      <c r="P378">
        <v>0</v>
      </c>
      <c r="Q378">
        <v>0</v>
      </c>
      <c r="R378">
        <f t="shared" si="26"/>
        <v>323.15</v>
      </c>
      <c r="U378">
        <v>0.001987</v>
      </c>
      <c r="V378">
        <f t="shared" si="27"/>
        <v>1</v>
      </c>
      <c r="W378">
        <f t="shared" si="28"/>
        <v>1</v>
      </c>
      <c r="X378">
        <f t="shared" si="29"/>
        <v>1</v>
      </c>
      <c r="Y378">
        <v>273.15</v>
      </c>
    </row>
    <row r="379" spans="1:25">
      <c r="A379" t="s">
        <v>535</v>
      </c>
      <c r="B379" t="s">
        <v>533</v>
      </c>
      <c r="C379" t="s">
        <v>24</v>
      </c>
      <c r="D379" t="s">
        <v>33</v>
      </c>
      <c r="E379" t="s">
        <v>34</v>
      </c>
      <c r="F379" t="s">
        <v>35</v>
      </c>
      <c r="G379" t="s">
        <v>534</v>
      </c>
      <c r="H379" t="s">
        <v>29</v>
      </c>
      <c r="I379" t="s">
        <v>36</v>
      </c>
      <c r="J379" t="s">
        <v>37</v>
      </c>
      <c r="L379">
        <v>50</v>
      </c>
      <c r="M379">
        <v>60</v>
      </c>
      <c r="N379">
        <v>0</v>
      </c>
      <c r="O379">
        <f t="shared" si="25"/>
        <v>0</v>
      </c>
      <c r="P379">
        <v>0</v>
      </c>
      <c r="Q379">
        <v>0</v>
      </c>
      <c r="R379">
        <f t="shared" si="26"/>
        <v>323.15</v>
      </c>
      <c r="U379">
        <v>0.001987</v>
      </c>
      <c r="V379">
        <f t="shared" si="27"/>
        <v>1</v>
      </c>
      <c r="W379">
        <f t="shared" si="28"/>
        <v>1</v>
      </c>
      <c r="X379">
        <f t="shared" si="29"/>
        <v>1</v>
      </c>
      <c r="Y379">
        <v>273.15</v>
      </c>
    </row>
    <row r="380" spans="1:25">
      <c r="A380" t="s">
        <v>536</v>
      </c>
      <c r="B380" t="s">
        <v>533</v>
      </c>
      <c r="C380" t="s">
        <v>24</v>
      </c>
      <c r="D380" t="s">
        <v>39</v>
      </c>
      <c r="E380" t="s">
        <v>40</v>
      </c>
      <c r="F380" t="s">
        <v>41</v>
      </c>
      <c r="G380" t="s">
        <v>534</v>
      </c>
      <c r="H380" t="s">
        <v>29</v>
      </c>
      <c r="I380" t="s">
        <v>42</v>
      </c>
      <c r="J380" t="s">
        <v>43</v>
      </c>
      <c r="L380">
        <v>50</v>
      </c>
      <c r="M380">
        <v>60</v>
      </c>
      <c r="N380">
        <v>0</v>
      </c>
      <c r="O380">
        <f t="shared" si="25"/>
        <v>0</v>
      </c>
      <c r="P380">
        <v>0</v>
      </c>
      <c r="Q380">
        <v>0</v>
      </c>
      <c r="R380">
        <f t="shared" si="26"/>
        <v>323.15</v>
      </c>
      <c r="U380">
        <v>0.001987</v>
      </c>
      <c r="V380">
        <f t="shared" si="27"/>
        <v>1</v>
      </c>
      <c r="W380">
        <f t="shared" si="28"/>
        <v>1</v>
      </c>
      <c r="X380">
        <f t="shared" si="29"/>
        <v>1</v>
      </c>
      <c r="Y380">
        <v>273.15</v>
      </c>
    </row>
    <row r="381" spans="1:25">
      <c r="A381" t="s">
        <v>537</v>
      </c>
      <c r="B381" t="s">
        <v>533</v>
      </c>
      <c r="C381" t="s">
        <v>24</v>
      </c>
      <c r="D381" t="s">
        <v>45</v>
      </c>
      <c r="E381" t="s">
        <v>46</v>
      </c>
      <c r="F381" t="s">
        <v>47</v>
      </c>
      <c r="G381" t="s">
        <v>534</v>
      </c>
      <c r="H381" t="s">
        <v>29</v>
      </c>
      <c r="I381" t="s">
        <v>48</v>
      </c>
      <c r="J381" t="s">
        <v>49</v>
      </c>
      <c r="L381">
        <v>50</v>
      </c>
      <c r="M381">
        <v>60</v>
      </c>
      <c r="N381">
        <v>0</v>
      </c>
      <c r="O381">
        <f t="shared" si="25"/>
        <v>0</v>
      </c>
      <c r="P381">
        <v>0</v>
      </c>
      <c r="Q381">
        <v>0</v>
      </c>
      <c r="R381">
        <f t="shared" si="26"/>
        <v>323.15</v>
      </c>
      <c r="U381">
        <v>0.001987</v>
      </c>
      <c r="V381">
        <f t="shared" si="27"/>
        <v>1</v>
      </c>
      <c r="W381">
        <f t="shared" si="28"/>
        <v>1</v>
      </c>
      <c r="X381">
        <f t="shared" si="29"/>
        <v>1</v>
      </c>
      <c r="Y381">
        <v>273.15</v>
      </c>
    </row>
    <row r="382" spans="1:25">
      <c r="A382" t="s">
        <v>538</v>
      </c>
      <c r="B382" t="s">
        <v>539</v>
      </c>
      <c r="C382" t="s">
        <v>540</v>
      </c>
      <c r="D382" t="s">
        <v>25</v>
      </c>
      <c r="E382" t="s">
        <v>26</v>
      </c>
      <c r="F382" t="s">
        <v>27</v>
      </c>
      <c r="G382" t="s">
        <v>541</v>
      </c>
      <c r="H382" t="s">
        <v>542</v>
      </c>
      <c r="I382" t="s">
        <v>30</v>
      </c>
      <c r="J382" t="s">
        <v>31</v>
      </c>
      <c r="L382">
        <v>50</v>
      </c>
      <c r="M382">
        <v>30</v>
      </c>
      <c r="N382">
        <v>0.07</v>
      </c>
      <c r="O382">
        <f t="shared" si="25"/>
        <v>-0.0900411268364101</v>
      </c>
      <c r="P382">
        <v>0.13</v>
      </c>
      <c r="Q382">
        <v>0</v>
      </c>
      <c r="R382">
        <f t="shared" si="26"/>
        <v>323.15</v>
      </c>
      <c r="U382">
        <v>0.001987</v>
      </c>
      <c r="V382">
        <f t="shared" si="27"/>
        <v>0.93</v>
      </c>
      <c r="W382">
        <f t="shared" si="28"/>
        <v>1.07</v>
      </c>
      <c r="X382">
        <f t="shared" si="29"/>
        <v>1.1505376344086</v>
      </c>
      <c r="Y382">
        <v>273.15</v>
      </c>
    </row>
    <row r="383" spans="1:25">
      <c r="A383" t="s">
        <v>543</v>
      </c>
      <c r="B383" t="s">
        <v>539</v>
      </c>
      <c r="C383" t="s">
        <v>540</v>
      </c>
      <c r="D383" t="s">
        <v>33</v>
      </c>
      <c r="E383" t="s">
        <v>34</v>
      </c>
      <c r="F383" t="s">
        <v>35</v>
      </c>
      <c r="G383" t="s">
        <v>541</v>
      </c>
      <c r="H383" t="s">
        <v>542</v>
      </c>
      <c r="I383" t="s">
        <v>36</v>
      </c>
      <c r="J383" t="s">
        <v>37</v>
      </c>
      <c r="L383">
        <v>50</v>
      </c>
      <c r="M383">
        <v>30</v>
      </c>
      <c r="N383">
        <v>-0.14</v>
      </c>
      <c r="O383">
        <f t="shared" si="25"/>
        <v>0.180976357031134</v>
      </c>
      <c r="P383">
        <v>0.14</v>
      </c>
      <c r="Q383">
        <v>0</v>
      </c>
      <c r="R383">
        <f t="shared" si="26"/>
        <v>323.15</v>
      </c>
      <c r="U383">
        <v>0.001987</v>
      </c>
      <c r="V383">
        <f t="shared" si="27"/>
        <v>1.14</v>
      </c>
      <c r="W383">
        <f t="shared" si="28"/>
        <v>0.86</v>
      </c>
      <c r="X383">
        <f t="shared" si="29"/>
        <v>0.754385964912281</v>
      </c>
      <c r="Y383">
        <v>273.15</v>
      </c>
    </row>
    <row r="384" spans="1:25">
      <c r="A384" t="s">
        <v>544</v>
      </c>
      <c r="B384" t="s">
        <v>539</v>
      </c>
      <c r="C384" t="s">
        <v>540</v>
      </c>
      <c r="D384" t="s">
        <v>39</v>
      </c>
      <c r="E384" t="s">
        <v>40</v>
      </c>
      <c r="F384" t="s">
        <v>41</v>
      </c>
      <c r="G384" t="s">
        <v>541</v>
      </c>
      <c r="H384" t="s">
        <v>542</v>
      </c>
      <c r="I384" t="s">
        <v>42</v>
      </c>
      <c r="J384" t="s">
        <v>43</v>
      </c>
      <c r="L384">
        <v>50</v>
      </c>
      <c r="M384">
        <v>30</v>
      </c>
      <c r="N384">
        <v>0</v>
      </c>
      <c r="O384">
        <f t="shared" si="25"/>
        <v>0</v>
      </c>
      <c r="P384">
        <v>0</v>
      </c>
      <c r="Q384">
        <v>0</v>
      </c>
      <c r="R384">
        <f t="shared" si="26"/>
        <v>323.15</v>
      </c>
      <c r="U384">
        <v>0.001987</v>
      </c>
      <c r="V384">
        <f t="shared" si="27"/>
        <v>1</v>
      </c>
      <c r="W384">
        <f t="shared" si="28"/>
        <v>1</v>
      </c>
      <c r="X384">
        <f t="shared" si="29"/>
        <v>1</v>
      </c>
      <c r="Y384">
        <v>273.15</v>
      </c>
    </row>
    <row r="385" spans="1:25">
      <c r="A385" t="s">
        <v>545</v>
      </c>
      <c r="B385" t="s">
        <v>539</v>
      </c>
      <c r="C385" t="s">
        <v>540</v>
      </c>
      <c r="D385" t="s">
        <v>45</v>
      </c>
      <c r="E385" t="s">
        <v>46</v>
      </c>
      <c r="F385" t="s">
        <v>47</v>
      </c>
      <c r="G385" t="s">
        <v>541</v>
      </c>
      <c r="H385" t="s">
        <v>542</v>
      </c>
      <c r="I385" t="s">
        <v>48</v>
      </c>
      <c r="J385" t="s">
        <v>49</v>
      </c>
      <c r="L385">
        <v>50</v>
      </c>
      <c r="M385">
        <v>30</v>
      </c>
      <c r="N385">
        <v>0</v>
      </c>
      <c r="O385">
        <f t="shared" si="25"/>
        <v>0</v>
      </c>
      <c r="P385">
        <v>0</v>
      </c>
      <c r="Q385">
        <v>0</v>
      </c>
      <c r="R385">
        <f t="shared" si="26"/>
        <v>323.15</v>
      </c>
      <c r="U385">
        <v>0.001987</v>
      </c>
      <c r="V385">
        <f t="shared" si="27"/>
        <v>1</v>
      </c>
      <c r="W385">
        <f t="shared" si="28"/>
        <v>1</v>
      </c>
      <c r="X385">
        <f t="shared" si="29"/>
        <v>1</v>
      </c>
      <c r="Y385">
        <v>273.15</v>
      </c>
    </row>
    <row r="386" spans="1:25">
      <c r="A386" t="s">
        <v>546</v>
      </c>
      <c r="B386" t="s">
        <v>547</v>
      </c>
      <c r="C386" t="s">
        <v>540</v>
      </c>
      <c r="D386" t="s">
        <v>25</v>
      </c>
      <c r="E386" t="s">
        <v>26</v>
      </c>
      <c r="F386" t="s">
        <v>27</v>
      </c>
      <c r="G386" t="s">
        <v>548</v>
      </c>
      <c r="H386" t="s">
        <v>542</v>
      </c>
      <c r="I386" t="s">
        <v>30</v>
      </c>
      <c r="J386" t="s">
        <v>31</v>
      </c>
      <c r="L386">
        <v>50</v>
      </c>
      <c r="M386">
        <v>30</v>
      </c>
      <c r="N386">
        <v>-0.03</v>
      </c>
      <c r="O386">
        <f t="shared" si="25"/>
        <v>0.0385375070281178</v>
      </c>
      <c r="P386">
        <v>0.06</v>
      </c>
      <c r="Q386">
        <v>0</v>
      </c>
      <c r="R386">
        <f t="shared" si="26"/>
        <v>323.15</v>
      </c>
      <c r="U386">
        <v>0.001987</v>
      </c>
      <c r="V386">
        <f t="shared" si="27"/>
        <v>1.03</v>
      </c>
      <c r="W386">
        <f t="shared" si="28"/>
        <v>0.97</v>
      </c>
      <c r="X386">
        <f t="shared" si="29"/>
        <v>0.941747572815534</v>
      </c>
      <c r="Y386">
        <v>273.15</v>
      </c>
    </row>
    <row r="387" spans="1:25">
      <c r="A387" t="s">
        <v>549</v>
      </c>
      <c r="B387" t="s">
        <v>547</v>
      </c>
      <c r="C387" t="s">
        <v>540</v>
      </c>
      <c r="D387" t="s">
        <v>33</v>
      </c>
      <c r="E387" t="s">
        <v>34</v>
      </c>
      <c r="F387" t="s">
        <v>35</v>
      </c>
      <c r="G387" t="s">
        <v>548</v>
      </c>
      <c r="H387" t="s">
        <v>542</v>
      </c>
      <c r="I387" t="s">
        <v>36</v>
      </c>
      <c r="J387" t="s">
        <v>37</v>
      </c>
      <c r="L387">
        <v>50</v>
      </c>
      <c r="M387">
        <v>30</v>
      </c>
      <c r="N387">
        <v>-0.09</v>
      </c>
      <c r="O387">
        <f t="shared" ref="O387:O437" si="30">-U387*R387*LN(X387)</f>
        <v>0.115891414580907</v>
      </c>
      <c r="P387">
        <v>0.05</v>
      </c>
      <c r="Q387">
        <v>0</v>
      </c>
      <c r="R387">
        <f t="shared" ref="R387:R437" si="31">L387+Y387</f>
        <v>323.15</v>
      </c>
      <c r="U387">
        <v>0.001987</v>
      </c>
      <c r="V387">
        <f t="shared" ref="V387:V425" si="32">1-N387</f>
        <v>1.09</v>
      </c>
      <c r="W387">
        <f t="shared" ref="W387:W425" si="33">1+N387</f>
        <v>0.91</v>
      </c>
      <c r="X387">
        <f t="shared" ref="X387:X425" si="34">W387/V387</f>
        <v>0.834862385321101</v>
      </c>
      <c r="Y387">
        <v>273.15</v>
      </c>
    </row>
    <row r="388" spans="1:25">
      <c r="A388" t="s">
        <v>550</v>
      </c>
      <c r="B388" t="s">
        <v>547</v>
      </c>
      <c r="C388" t="s">
        <v>540</v>
      </c>
      <c r="D388" t="s">
        <v>39</v>
      </c>
      <c r="E388" t="s">
        <v>40</v>
      </c>
      <c r="F388" t="s">
        <v>41</v>
      </c>
      <c r="G388" t="s">
        <v>548</v>
      </c>
      <c r="H388" t="s">
        <v>542</v>
      </c>
      <c r="I388" t="s">
        <v>42</v>
      </c>
      <c r="J388" t="s">
        <v>43</v>
      </c>
      <c r="L388">
        <v>50</v>
      </c>
      <c r="M388">
        <v>30</v>
      </c>
      <c r="N388">
        <v>0</v>
      </c>
      <c r="O388">
        <f t="shared" si="30"/>
        <v>0</v>
      </c>
      <c r="P388">
        <v>0</v>
      </c>
      <c r="Q388">
        <v>0</v>
      </c>
      <c r="R388">
        <f t="shared" si="31"/>
        <v>323.15</v>
      </c>
      <c r="U388">
        <v>0.001987</v>
      </c>
      <c r="V388">
        <f t="shared" si="32"/>
        <v>1</v>
      </c>
      <c r="W388">
        <f t="shared" si="33"/>
        <v>1</v>
      </c>
      <c r="X388">
        <f t="shared" si="34"/>
        <v>1</v>
      </c>
      <c r="Y388">
        <v>273.15</v>
      </c>
    </row>
    <row r="389" spans="1:25">
      <c r="A389" t="s">
        <v>551</v>
      </c>
      <c r="B389" t="s">
        <v>547</v>
      </c>
      <c r="C389" t="s">
        <v>540</v>
      </c>
      <c r="D389" t="s">
        <v>45</v>
      </c>
      <c r="E389" t="s">
        <v>46</v>
      </c>
      <c r="F389" t="s">
        <v>47</v>
      </c>
      <c r="G389" t="s">
        <v>548</v>
      </c>
      <c r="H389" t="s">
        <v>542</v>
      </c>
      <c r="I389" t="s">
        <v>48</v>
      </c>
      <c r="J389" t="s">
        <v>49</v>
      </c>
      <c r="L389">
        <v>50</v>
      </c>
      <c r="M389">
        <v>30</v>
      </c>
      <c r="N389">
        <v>0</v>
      </c>
      <c r="O389">
        <f t="shared" si="30"/>
        <v>0</v>
      </c>
      <c r="P389">
        <v>0</v>
      </c>
      <c r="Q389">
        <v>0</v>
      </c>
      <c r="R389">
        <f t="shared" si="31"/>
        <v>323.15</v>
      </c>
      <c r="U389">
        <v>0.001987</v>
      </c>
      <c r="V389">
        <f t="shared" si="32"/>
        <v>1</v>
      </c>
      <c r="W389">
        <f t="shared" si="33"/>
        <v>1</v>
      </c>
      <c r="X389">
        <f t="shared" si="34"/>
        <v>1</v>
      </c>
      <c r="Y389">
        <v>273.15</v>
      </c>
    </row>
    <row r="390" spans="1:25">
      <c r="A390" t="s">
        <v>552</v>
      </c>
      <c r="B390" t="s">
        <v>553</v>
      </c>
      <c r="C390" t="s">
        <v>540</v>
      </c>
      <c r="D390" t="s">
        <v>25</v>
      </c>
      <c r="E390" t="s">
        <v>26</v>
      </c>
      <c r="F390" t="s">
        <v>27</v>
      </c>
      <c r="G390" t="s">
        <v>554</v>
      </c>
      <c r="H390" t="s">
        <v>542</v>
      </c>
      <c r="I390" t="s">
        <v>30</v>
      </c>
      <c r="J390" t="s">
        <v>31</v>
      </c>
      <c r="L390">
        <v>50</v>
      </c>
      <c r="M390">
        <v>30</v>
      </c>
      <c r="N390">
        <v>0.47</v>
      </c>
      <c r="O390">
        <f t="shared" si="30"/>
        <v>-0.655031357145169</v>
      </c>
      <c r="P390">
        <v>0.22</v>
      </c>
      <c r="Q390">
        <v>0</v>
      </c>
      <c r="R390">
        <f t="shared" si="31"/>
        <v>323.15</v>
      </c>
      <c r="U390">
        <v>0.001987</v>
      </c>
      <c r="V390">
        <f t="shared" si="32"/>
        <v>0.53</v>
      </c>
      <c r="W390">
        <f t="shared" si="33"/>
        <v>1.47</v>
      </c>
      <c r="X390">
        <f t="shared" si="34"/>
        <v>2.77358490566038</v>
      </c>
      <c r="Y390">
        <v>273.15</v>
      </c>
    </row>
    <row r="391" spans="1:25">
      <c r="A391" t="s">
        <v>555</v>
      </c>
      <c r="B391" t="s">
        <v>553</v>
      </c>
      <c r="C391" t="s">
        <v>540</v>
      </c>
      <c r="D391" t="s">
        <v>33</v>
      </c>
      <c r="E391" t="s">
        <v>34</v>
      </c>
      <c r="F391" t="s">
        <v>35</v>
      </c>
      <c r="G391" t="s">
        <v>554</v>
      </c>
      <c r="H391" t="s">
        <v>542</v>
      </c>
      <c r="I391" t="s">
        <v>36</v>
      </c>
      <c r="J391" t="s">
        <v>37</v>
      </c>
      <c r="L391">
        <v>50</v>
      </c>
      <c r="M391">
        <v>30</v>
      </c>
      <c r="N391">
        <v>-0.55</v>
      </c>
      <c r="O391">
        <f t="shared" si="30"/>
        <v>0.79412410796783</v>
      </c>
      <c r="P391">
        <v>0.17</v>
      </c>
      <c r="Q391">
        <v>0</v>
      </c>
      <c r="R391">
        <f t="shared" si="31"/>
        <v>323.15</v>
      </c>
      <c r="U391">
        <v>0.001987</v>
      </c>
      <c r="V391">
        <f t="shared" si="32"/>
        <v>1.55</v>
      </c>
      <c r="W391">
        <f t="shared" si="33"/>
        <v>0.45</v>
      </c>
      <c r="X391">
        <f t="shared" si="34"/>
        <v>0.290322580645161</v>
      </c>
      <c r="Y391">
        <v>273.15</v>
      </c>
    </row>
    <row r="392" spans="1:25">
      <c r="A392" t="s">
        <v>556</v>
      </c>
      <c r="B392" t="s">
        <v>553</v>
      </c>
      <c r="C392" t="s">
        <v>540</v>
      </c>
      <c r="D392" t="s">
        <v>39</v>
      </c>
      <c r="E392" t="s">
        <v>40</v>
      </c>
      <c r="F392" t="s">
        <v>41</v>
      </c>
      <c r="G392" t="s">
        <v>554</v>
      </c>
      <c r="H392" t="s">
        <v>542</v>
      </c>
      <c r="I392" t="s">
        <v>42</v>
      </c>
      <c r="J392" t="s">
        <v>43</v>
      </c>
      <c r="L392">
        <v>50</v>
      </c>
      <c r="M392">
        <v>30</v>
      </c>
      <c r="N392">
        <v>0</v>
      </c>
      <c r="O392">
        <f t="shared" si="30"/>
        <v>0</v>
      </c>
      <c r="P392">
        <v>0</v>
      </c>
      <c r="Q392">
        <v>0</v>
      </c>
      <c r="R392">
        <f t="shared" si="31"/>
        <v>323.15</v>
      </c>
      <c r="U392">
        <v>0.001987</v>
      </c>
      <c r="V392">
        <f t="shared" si="32"/>
        <v>1</v>
      </c>
      <c r="W392">
        <f t="shared" si="33"/>
        <v>1</v>
      </c>
      <c r="X392">
        <f t="shared" si="34"/>
        <v>1</v>
      </c>
      <c r="Y392">
        <v>273.15</v>
      </c>
    </row>
    <row r="393" spans="1:25">
      <c r="A393" t="s">
        <v>557</v>
      </c>
      <c r="B393" t="s">
        <v>553</v>
      </c>
      <c r="C393" t="s">
        <v>540</v>
      </c>
      <c r="D393" t="s">
        <v>45</v>
      </c>
      <c r="E393" t="s">
        <v>46</v>
      </c>
      <c r="F393" t="s">
        <v>47</v>
      </c>
      <c r="G393" t="s">
        <v>554</v>
      </c>
      <c r="H393" t="s">
        <v>542</v>
      </c>
      <c r="I393" t="s">
        <v>48</v>
      </c>
      <c r="J393" t="s">
        <v>49</v>
      </c>
      <c r="L393">
        <v>50</v>
      </c>
      <c r="M393">
        <v>30</v>
      </c>
      <c r="N393">
        <v>0</v>
      </c>
      <c r="O393">
        <f t="shared" si="30"/>
        <v>0</v>
      </c>
      <c r="P393">
        <v>0</v>
      </c>
      <c r="Q393">
        <v>0</v>
      </c>
      <c r="R393">
        <f t="shared" si="31"/>
        <v>323.15</v>
      </c>
      <c r="U393">
        <v>0.001987</v>
      </c>
      <c r="V393">
        <f t="shared" si="32"/>
        <v>1</v>
      </c>
      <c r="W393">
        <f t="shared" si="33"/>
        <v>1</v>
      </c>
      <c r="X393">
        <f t="shared" si="34"/>
        <v>1</v>
      </c>
      <c r="Y393">
        <v>273.15</v>
      </c>
    </row>
    <row r="394" spans="1:25">
      <c r="A394" t="s">
        <v>558</v>
      </c>
      <c r="B394" t="s">
        <v>559</v>
      </c>
      <c r="C394" t="s">
        <v>540</v>
      </c>
      <c r="D394" t="s">
        <v>25</v>
      </c>
      <c r="E394" t="s">
        <v>26</v>
      </c>
      <c r="F394" t="s">
        <v>27</v>
      </c>
      <c r="G394" t="s">
        <v>560</v>
      </c>
      <c r="H394" t="s">
        <v>542</v>
      </c>
      <c r="I394" t="s">
        <v>30</v>
      </c>
      <c r="J394" t="s">
        <v>31</v>
      </c>
      <c r="L394">
        <v>50</v>
      </c>
      <c r="M394">
        <v>30</v>
      </c>
      <c r="N394">
        <v>0</v>
      </c>
      <c r="O394">
        <f t="shared" si="30"/>
        <v>0</v>
      </c>
      <c r="P394">
        <v>0</v>
      </c>
      <c r="Q394">
        <v>0</v>
      </c>
      <c r="R394">
        <f t="shared" si="31"/>
        <v>323.15</v>
      </c>
      <c r="U394">
        <v>0.001987</v>
      </c>
      <c r="V394">
        <f t="shared" si="32"/>
        <v>1</v>
      </c>
      <c r="W394">
        <f t="shared" si="33"/>
        <v>1</v>
      </c>
      <c r="X394">
        <f t="shared" si="34"/>
        <v>1</v>
      </c>
      <c r="Y394">
        <v>273.15</v>
      </c>
    </row>
    <row r="395" spans="1:25">
      <c r="A395" t="s">
        <v>561</v>
      </c>
      <c r="B395" t="s">
        <v>559</v>
      </c>
      <c r="C395" t="s">
        <v>540</v>
      </c>
      <c r="D395" t="s">
        <v>33</v>
      </c>
      <c r="E395" t="s">
        <v>34</v>
      </c>
      <c r="F395" t="s">
        <v>35</v>
      </c>
      <c r="G395" t="s">
        <v>560</v>
      </c>
      <c r="H395" t="s">
        <v>542</v>
      </c>
      <c r="I395" t="s">
        <v>36</v>
      </c>
      <c r="J395" t="s">
        <v>37</v>
      </c>
      <c r="L395">
        <v>50</v>
      </c>
      <c r="M395">
        <v>30</v>
      </c>
      <c r="N395">
        <v>0</v>
      </c>
      <c r="O395">
        <f t="shared" si="30"/>
        <v>0</v>
      </c>
      <c r="P395">
        <v>0</v>
      </c>
      <c r="Q395">
        <v>0</v>
      </c>
      <c r="R395">
        <f t="shared" si="31"/>
        <v>323.15</v>
      </c>
      <c r="U395">
        <v>0.001987</v>
      </c>
      <c r="V395">
        <f t="shared" si="32"/>
        <v>1</v>
      </c>
      <c r="W395">
        <f t="shared" si="33"/>
        <v>1</v>
      </c>
      <c r="X395">
        <f t="shared" si="34"/>
        <v>1</v>
      </c>
      <c r="Y395">
        <v>273.15</v>
      </c>
    </row>
    <row r="396" spans="1:25">
      <c r="A396" t="s">
        <v>562</v>
      </c>
      <c r="B396" t="s">
        <v>559</v>
      </c>
      <c r="C396" t="s">
        <v>540</v>
      </c>
      <c r="D396" t="s">
        <v>39</v>
      </c>
      <c r="E396" t="s">
        <v>40</v>
      </c>
      <c r="F396" t="s">
        <v>41</v>
      </c>
      <c r="G396" t="s">
        <v>560</v>
      </c>
      <c r="H396" t="s">
        <v>542</v>
      </c>
      <c r="I396" t="s">
        <v>42</v>
      </c>
      <c r="J396" t="s">
        <v>43</v>
      </c>
      <c r="L396">
        <v>50</v>
      </c>
      <c r="M396">
        <v>30</v>
      </c>
      <c r="N396">
        <v>0</v>
      </c>
      <c r="O396">
        <f t="shared" si="30"/>
        <v>0</v>
      </c>
      <c r="P396">
        <v>0</v>
      </c>
      <c r="Q396">
        <v>0</v>
      </c>
      <c r="R396">
        <f t="shared" si="31"/>
        <v>323.15</v>
      </c>
      <c r="U396">
        <v>0.001987</v>
      </c>
      <c r="V396">
        <f t="shared" si="32"/>
        <v>1</v>
      </c>
      <c r="W396">
        <f t="shared" si="33"/>
        <v>1</v>
      </c>
      <c r="X396">
        <f t="shared" si="34"/>
        <v>1</v>
      </c>
      <c r="Y396">
        <v>273.15</v>
      </c>
    </row>
    <row r="397" spans="1:25">
      <c r="A397" t="s">
        <v>563</v>
      </c>
      <c r="B397" t="s">
        <v>559</v>
      </c>
      <c r="C397" t="s">
        <v>540</v>
      </c>
      <c r="D397" t="s">
        <v>45</v>
      </c>
      <c r="E397" t="s">
        <v>46</v>
      </c>
      <c r="F397" t="s">
        <v>47</v>
      </c>
      <c r="G397" t="s">
        <v>560</v>
      </c>
      <c r="H397" t="s">
        <v>542</v>
      </c>
      <c r="I397" t="s">
        <v>48</v>
      </c>
      <c r="J397" t="s">
        <v>49</v>
      </c>
      <c r="L397">
        <v>50</v>
      </c>
      <c r="M397">
        <v>30</v>
      </c>
      <c r="N397">
        <v>0</v>
      </c>
      <c r="O397">
        <f t="shared" si="30"/>
        <v>0</v>
      </c>
      <c r="P397">
        <v>0</v>
      </c>
      <c r="Q397">
        <v>0</v>
      </c>
      <c r="R397">
        <f t="shared" si="31"/>
        <v>323.15</v>
      </c>
      <c r="U397">
        <v>0.001987</v>
      </c>
      <c r="V397">
        <f t="shared" si="32"/>
        <v>1</v>
      </c>
      <c r="W397">
        <f t="shared" si="33"/>
        <v>1</v>
      </c>
      <c r="X397">
        <f t="shared" si="34"/>
        <v>1</v>
      </c>
      <c r="Y397">
        <v>273.15</v>
      </c>
    </row>
    <row r="398" spans="1:25">
      <c r="A398" t="s">
        <v>564</v>
      </c>
      <c r="B398" t="s">
        <v>565</v>
      </c>
      <c r="C398" t="s">
        <v>540</v>
      </c>
      <c r="D398" t="s">
        <v>25</v>
      </c>
      <c r="E398" t="s">
        <v>26</v>
      </c>
      <c r="F398" t="s">
        <v>27</v>
      </c>
      <c r="G398" t="s">
        <v>566</v>
      </c>
      <c r="H398" t="s">
        <v>542</v>
      </c>
      <c r="I398" t="s">
        <v>30</v>
      </c>
      <c r="J398" t="s">
        <v>31</v>
      </c>
      <c r="L398">
        <v>50</v>
      </c>
      <c r="M398">
        <v>30</v>
      </c>
      <c r="N398">
        <v>-0.75</v>
      </c>
      <c r="O398">
        <f t="shared" si="30"/>
        <v>1.24946705809378</v>
      </c>
      <c r="P398">
        <v>0.15</v>
      </c>
      <c r="Q398">
        <v>0</v>
      </c>
      <c r="R398">
        <f t="shared" si="31"/>
        <v>323.15</v>
      </c>
      <c r="U398">
        <v>0.001987</v>
      </c>
      <c r="V398">
        <f t="shared" si="32"/>
        <v>1.75</v>
      </c>
      <c r="W398">
        <f t="shared" si="33"/>
        <v>0.25</v>
      </c>
      <c r="X398">
        <f t="shared" si="34"/>
        <v>0.142857142857143</v>
      </c>
      <c r="Y398">
        <v>273.15</v>
      </c>
    </row>
    <row r="399" spans="1:25">
      <c r="A399" t="s">
        <v>567</v>
      </c>
      <c r="B399" t="s">
        <v>565</v>
      </c>
      <c r="C399" t="s">
        <v>540</v>
      </c>
      <c r="D399" t="s">
        <v>33</v>
      </c>
      <c r="E399" t="s">
        <v>34</v>
      </c>
      <c r="F399" t="s">
        <v>35</v>
      </c>
      <c r="G399" t="s">
        <v>566</v>
      </c>
      <c r="H399" t="s">
        <v>542</v>
      </c>
      <c r="I399" t="s">
        <v>36</v>
      </c>
      <c r="J399" t="s">
        <v>37</v>
      </c>
      <c r="L399">
        <v>50</v>
      </c>
      <c r="M399">
        <v>30</v>
      </c>
      <c r="N399">
        <v>0</v>
      </c>
      <c r="O399">
        <f t="shared" si="30"/>
        <v>0</v>
      </c>
      <c r="P399">
        <v>0</v>
      </c>
      <c r="Q399">
        <v>0</v>
      </c>
      <c r="R399">
        <f t="shared" si="31"/>
        <v>323.15</v>
      </c>
      <c r="U399">
        <v>0.001987</v>
      </c>
      <c r="V399">
        <f t="shared" si="32"/>
        <v>1</v>
      </c>
      <c r="W399">
        <f t="shared" si="33"/>
        <v>1</v>
      </c>
      <c r="X399">
        <f t="shared" si="34"/>
        <v>1</v>
      </c>
      <c r="Y399">
        <v>273.15</v>
      </c>
    </row>
    <row r="400" spans="1:25">
      <c r="A400" t="s">
        <v>568</v>
      </c>
      <c r="B400" t="s">
        <v>565</v>
      </c>
      <c r="C400" t="s">
        <v>540</v>
      </c>
      <c r="D400" t="s">
        <v>39</v>
      </c>
      <c r="E400" t="s">
        <v>40</v>
      </c>
      <c r="F400" t="s">
        <v>41</v>
      </c>
      <c r="G400" t="s">
        <v>566</v>
      </c>
      <c r="H400" t="s">
        <v>542</v>
      </c>
      <c r="I400" t="s">
        <v>42</v>
      </c>
      <c r="J400" t="s">
        <v>43</v>
      </c>
      <c r="L400">
        <v>50</v>
      </c>
      <c r="M400">
        <v>30</v>
      </c>
      <c r="N400">
        <v>0</v>
      </c>
      <c r="O400">
        <f t="shared" si="30"/>
        <v>0</v>
      </c>
      <c r="P400">
        <v>0</v>
      </c>
      <c r="Q400">
        <v>0</v>
      </c>
      <c r="R400">
        <f t="shared" si="31"/>
        <v>323.15</v>
      </c>
      <c r="U400">
        <v>0.001987</v>
      </c>
      <c r="V400">
        <f t="shared" si="32"/>
        <v>1</v>
      </c>
      <c r="W400">
        <f t="shared" si="33"/>
        <v>1</v>
      </c>
      <c r="X400">
        <f t="shared" si="34"/>
        <v>1</v>
      </c>
      <c r="Y400">
        <v>273.15</v>
      </c>
    </row>
    <row r="401" spans="1:25">
      <c r="A401" t="s">
        <v>569</v>
      </c>
      <c r="B401" t="s">
        <v>565</v>
      </c>
      <c r="C401" t="s">
        <v>540</v>
      </c>
      <c r="D401" t="s">
        <v>45</v>
      </c>
      <c r="E401" t="s">
        <v>46</v>
      </c>
      <c r="F401" t="s">
        <v>47</v>
      </c>
      <c r="G401" t="s">
        <v>566</v>
      </c>
      <c r="H401" t="s">
        <v>542</v>
      </c>
      <c r="I401" t="s">
        <v>48</v>
      </c>
      <c r="J401" t="s">
        <v>49</v>
      </c>
      <c r="L401">
        <v>50</v>
      </c>
      <c r="M401">
        <v>30</v>
      </c>
      <c r="N401">
        <v>0</v>
      </c>
      <c r="O401">
        <f t="shared" si="30"/>
        <v>0</v>
      </c>
      <c r="P401">
        <v>0</v>
      </c>
      <c r="Q401">
        <v>0</v>
      </c>
      <c r="R401">
        <f t="shared" si="31"/>
        <v>323.15</v>
      </c>
      <c r="U401">
        <v>0.001987</v>
      </c>
      <c r="V401">
        <f t="shared" si="32"/>
        <v>1</v>
      </c>
      <c r="W401">
        <f t="shared" si="33"/>
        <v>1</v>
      </c>
      <c r="X401">
        <f t="shared" si="34"/>
        <v>1</v>
      </c>
      <c r="Y401">
        <v>273.15</v>
      </c>
    </row>
    <row r="402" spans="1:25">
      <c r="A402" t="s">
        <v>570</v>
      </c>
      <c r="B402" t="s">
        <v>571</v>
      </c>
      <c r="C402" t="s">
        <v>24</v>
      </c>
      <c r="D402" t="s">
        <v>25</v>
      </c>
      <c r="E402" t="s">
        <v>26</v>
      </c>
      <c r="F402" t="s">
        <v>27</v>
      </c>
      <c r="G402" t="s">
        <v>572</v>
      </c>
      <c r="H402" t="s">
        <v>29</v>
      </c>
      <c r="I402" t="s">
        <v>30</v>
      </c>
      <c r="J402" t="s">
        <v>31</v>
      </c>
      <c r="L402">
        <v>50</v>
      </c>
      <c r="M402">
        <v>60</v>
      </c>
      <c r="N402">
        <v>0</v>
      </c>
      <c r="O402">
        <f t="shared" si="30"/>
        <v>0</v>
      </c>
      <c r="P402">
        <v>0</v>
      </c>
      <c r="Q402">
        <v>0</v>
      </c>
      <c r="R402">
        <f t="shared" si="31"/>
        <v>323.15</v>
      </c>
      <c r="U402">
        <v>0.001987</v>
      </c>
      <c r="V402">
        <f t="shared" si="32"/>
        <v>1</v>
      </c>
      <c r="W402">
        <f t="shared" si="33"/>
        <v>1</v>
      </c>
      <c r="X402">
        <f t="shared" si="34"/>
        <v>1</v>
      </c>
      <c r="Y402">
        <v>273.15</v>
      </c>
    </row>
    <row r="403" spans="1:25">
      <c r="A403" t="s">
        <v>573</v>
      </c>
      <c r="B403" t="s">
        <v>571</v>
      </c>
      <c r="C403" t="s">
        <v>24</v>
      </c>
      <c r="D403" t="s">
        <v>33</v>
      </c>
      <c r="E403" t="s">
        <v>34</v>
      </c>
      <c r="F403" t="s">
        <v>35</v>
      </c>
      <c r="G403" t="s">
        <v>572</v>
      </c>
      <c r="H403" t="s">
        <v>29</v>
      </c>
      <c r="I403" t="s">
        <v>36</v>
      </c>
      <c r="J403" t="s">
        <v>37</v>
      </c>
      <c r="L403">
        <v>50</v>
      </c>
      <c r="M403">
        <v>60</v>
      </c>
      <c r="N403">
        <v>0</v>
      </c>
      <c r="O403">
        <f t="shared" si="30"/>
        <v>0</v>
      </c>
      <c r="P403">
        <v>0</v>
      </c>
      <c r="Q403">
        <v>0</v>
      </c>
      <c r="R403">
        <f t="shared" si="31"/>
        <v>323.15</v>
      </c>
      <c r="U403">
        <v>0.001987</v>
      </c>
      <c r="V403">
        <f t="shared" si="32"/>
        <v>1</v>
      </c>
      <c r="W403">
        <f t="shared" si="33"/>
        <v>1</v>
      </c>
      <c r="X403">
        <f t="shared" si="34"/>
        <v>1</v>
      </c>
      <c r="Y403">
        <v>273.15</v>
      </c>
    </row>
    <row r="404" spans="1:25">
      <c r="A404" t="s">
        <v>574</v>
      </c>
      <c r="B404" t="s">
        <v>571</v>
      </c>
      <c r="C404" t="s">
        <v>24</v>
      </c>
      <c r="D404" t="s">
        <v>39</v>
      </c>
      <c r="E404" t="s">
        <v>40</v>
      </c>
      <c r="F404" t="s">
        <v>41</v>
      </c>
      <c r="G404" t="s">
        <v>572</v>
      </c>
      <c r="H404" t="s">
        <v>29</v>
      </c>
      <c r="I404" t="s">
        <v>42</v>
      </c>
      <c r="J404" t="s">
        <v>43</v>
      </c>
      <c r="L404">
        <v>50</v>
      </c>
      <c r="M404">
        <v>60</v>
      </c>
      <c r="N404">
        <v>0</v>
      </c>
      <c r="O404">
        <f t="shared" si="30"/>
        <v>0</v>
      </c>
      <c r="P404">
        <v>0</v>
      </c>
      <c r="Q404">
        <v>0</v>
      </c>
      <c r="R404">
        <f t="shared" si="31"/>
        <v>323.15</v>
      </c>
      <c r="U404">
        <v>0.001987</v>
      </c>
      <c r="V404">
        <f t="shared" si="32"/>
        <v>1</v>
      </c>
      <c r="W404">
        <f t="shared" si="33"/>
        <v>1</v>
      </c>
      <c r="X404">
        <f t="shared" si="34"/>
        <v>1</v>
      </c>
      <c r="Y404">
        <v>273.15</v>
      </c>
    </row>
    <row r="405" spans="1:25">
      <c r="A405" t="s">
        <v>575</v>
      </c>
      <c r="B405" t="s">
        <v>571</v>
      </c>
      <c r="C405" t="s">
        <v>24</v>
      </c>
      <c r="D405" t="s">
        <v>45</v>
      </c>
      <c r="E405" t="s">
        <v>46</v>
      </c>
      <c r="F405" t="s">
        <v>47</v>
      </c>
      <c r="G405" t="s">
        <v>572</v>
      </c>
      <c r="H405" t="s">
        <v>29</v>
      </c>
      <c r="I405" t="s">
        <v>48</v>
      </c>
      <c r="J405" t="s">
        <v>49</v>
      </c>
      <c r="L405">
        <v>50</v>
      </c>
      <c r="M405">
        <v>60</v>
      </c>
      <c r="N405">
        <v>0</v>
      </c>
      <c r="O405">
        <f t="shared" si="30"/>
        <v>0</v>
      </c>
      <c r="P405">
        <v>0</v>
      </c>
      <c r="Q405">
        <v>0</v>
      </c>
      <c r="R405">
        <f t="shared" si="31"/>
        <v>323.15</v>
      </c>
      <c r="U405">
        <v>0.001987</v>
      </c>
      <c r="V405">
        <f t="shared" si="32"/>
        <v>1</v>
      </c>
      <c r="W405">
        <f t="shared" si="33"/>
        <v>1</v>
      </c>
      <c r="X405">
        <f t="shared" si="34"/>
        <v>1</v>
      </c>
      <c r="Y405">
        <v>273.15</v>
      </c>
    </row>
    <row r="406" spans="1:25">
      <c r="A406" t="s">
        <v>576</v>
      </c>
      <c r="B406" t="s">
        <v>577</v>
      </c>
      <c r="C406" t="s">
        <v>24</v>
      </c>
      <c r="D406" t="s">
        <v>25</v>
      </c>
      <c r="E406" t="s">
        <v>26</v>
      </c>
      <c r="F406" t="s">
        <v>27</v>
      </c>
      <c r="G406" t="s">
        <v>578</v>
      </c>
      <c r="H406" t="s">
        <v>29</v>
      </c>
      <c r="I406" t="s">
        <v>30</v>
      </c>
      <c r="J406" t="s">
        <v>31</v>
      </c>
      <c r="L406">
        <v>60</v>
      </c>
      <c r="M406">
        <v>20</v>
      </c>
      <c r="N406">
        <v>0</v>
      </c>
      <c r="O406">
        <f t="shared" si="30"/>
        <v>0</v>
      </c>
      <c r="P406">
        <v>0</v>
      </c>
      <c r="Q406">
        <v>0</v>
      </c>
      <c r="R406">
        <f t="shared" si="31"/>
        <v>333.15</v>
      </c>
      <c r="U406">
        <v>0.001987</v>
      </c>
      <c r="V406">
        <f t="shared" si="32"/>
        <v>1</v>
      </c>
      <c r="W406">
        <f t="shared" si="33"/>
        <v>1</v>
      </c>
      <c r="X406">
        <f t="shared" si="34"/>
        <v>1</v>
      </c>
      <c r="Y406">
        <v>273.15</v>
      </c>
    </row>
    <row r="407" spans="1:25">
      <c r="A407" t="s">
        <v>579</v>
      </c>
      <c r="B407" t="s">
        <v>577</v>
      </c>
      <c r="C407" t="s">
        <v>24</v>
      </c>
      <c r="D407" t="s">
        <v>33</v>
      </c>
      <c r="E407" t="s">
        <v>34</v>
      </c>
      <c r="F407" t="s">
        <v>35</v>
      </c>
      <c r="G407" t="s">
        <v>578</v>
      </c>
      <c r="H407" t="s">
        <v>29</v>
      </c>
      <c r="I407" t="s">
        <v>36</v>
      </c>
      <c r="J407" t="s">
        <v>37</v>
      </c>
      <c r="L407">
        <v>60</v>
      </c>
      <c r="M407">
        <v>20</v>
      </c>
      <c r="N407">
        <v>0</v>
      </c>
      <c r="O407">
        <f t="shared" si="30"/>
        <v>0</v>
      </c>
      <c r="P407">
        <v>0</v>
      </c>
      <c r="Q407">
        <v>0</v>
      </c>
      <c r="R407">
        <f t="shared" si="31"/>
        <v>333.15</v>
      </c>
      <c r="U407">
        <v>0.001987</v>
      </c>
      <c r="V407">
        <f t="shared" si="32"/>
        <v>1</v>
      </c>
      <c r="W407">
        <f t="shared" si="33"/>
        <v>1</v>
      </c>
      <c r="X407">
        <f t="shared" si="34"/>
        <v>1</v>
      </c>
      <c r="Y407">
        <v>273.15</v>
      </c>
    </row>
    <row r="408" spans="1:25">
      <c r="A408" t="s">
        <v>580</v>
      </c>
      <c r="B408" t="s">
        <v>577</v>
      </c>
      <c r="C408" t="s">
        <v>24</v>
      </c>
      <c r="D408" t="s">
        <v>39</v>
      </c>
      <c r="E408" t="s">
        <v>40</v>
      </c>
      <c r="F408" t="s">
        <v>41</v>
      </c>
      <c r="G408" t="s">
        <v>578</v>
      </c>
      <c r="H408" t="s">
        <v>29</v>
      </c>
      <c r="I408" t="s">
        <v>42</v>
      </c>
      <c r="J408" t="s">
        <v>43</v>
      </c>
      <c r="L408">
        <v>60</v>
      </c>
      <c r="M408">
        <v>20</v>
      </c>
      <c r="N408">
        <v>0</v>
      </c>
      <c r="O408">
        <f t="shared" si="30"/>
        <v>0</v>
      </c>
      <c r="P408">
        <v>0</v>
      </c>
      <c r="Q408">
        <v>0</v>
      </c>
      <c r="R408">
        <f t="shared" si="31"/>
        <v>333.15</v>
      </c>
      <c r="U408">
        <v>0.001987</v>
      </c>
      <c r="V408">
        <f t="shared" si="32"/>
        <v>1</v>
      </c>
      <c r="W408">
        <f t="shared" si="33"/>
        <v>1</v>
      </c>
      <c r="X408">
        <f t="shared" si="34"/>
        <v>1</v>
      </c>
      <c r="Y408">
        <v>273.15</v>
      </c>
    </row>
    <row r="409" spans="1:25">
      <c r="A409" t="s">
        <v>581</v>
      </c>
      <c r="B409" t="s">
        <v>577</v>
      </c>
      <c r="C409" t="s">
        <v>24</v>
      </c>
      <c r="D409" t="s">
        <v>45</v>
      </c>
      <c r="E409" t="s">
        <v>46</v>
      </c>
      <c r="F409" t="s">
        <v>47</v>
      </c>
      <c r="G409" t="s">
        <v>578</v>
      </c>
      <c r="H409" t="s">
        <v>29</v>
      </c>
      <c r="I409" t="s">
        <v>48</v>
      </c>
      <c r="J409" t="s">
        <v>49</v>
      </c>
      <c r="L409">
        <v>60</v>
      </c>
      <c r="M409">
        <v>20</v>
      </c>
      <c r="N409">
        <v>0</v>
      </c>
      <c r="O409">
        <f t="shared" si="30"/>
        <v>0</v>
      </c>
      <c r="P409">
        <v>0</v>
      </c>
      <c r="Q409">
        <v>0</v>
      </c>
      <c r="R409">
        <f t="shared" si="31"/>
        <v>333.15</v>
      </c>
      <c r="U409">
        <v>0.001987</v>
      </c>
      <c r="V409">
        <f t="shared" si="32"/>
        <v>1</v>
      </c>
      <c r="W409">
        <f t="shared" si="33"/>
        <v>1</v>
      </c>
      <c r="X409">
        <f t="shared" si="34"/>
        <v>1</v>
      </c>
      <c r="Y409">
        <v>273.15</v>
      </c>
    </row>
    <row r="410" spans="1:25">
      <c r="A410" t="s">
        <v>582</v>
      </c>
      <c r="B410" t="s">
        <v>583</v>
      </c>
      <c r="C410" t="s">
        <v>24</v>
      </c>
      <c r="D410" t="s">
        <v>25</v>
      </c>
      <c r="E410" t="s">
        <v>26</v>
      </c>
      <c r="F410" t="s">
        <v>27</v>
      </c>
      <c r="G410" t="s">
        <v>584</v>
      </c>
      <c r="H410" t="s">
        <v>29</v>
      </c>
      <c r="I410" t="s">
        <v>30</v>
      </c>
      <c r="J410" t="s">
        <v>31</v>
      </c>
      <c r="L410">
        <v>60</v>
      </c>
      <c r="M410">
        <v>20</v>
      </c>
      <c r="N410">
        <v>0</v>
      </c>
      <c r="O410">
        <f t="shared" si="30"/>
        <v>0</v>
      </c>
      <c r="P410">
        <v>0</v>
      </c>
      <c r="Q410">
        <v>0</v>
      </c>
      <c r="R410">
        <f t="shared" si="31"/>
        <v>333.15</v>
      </c>
      <c r="U410">
        <v>0.001987</v>
      </c>
      <c r="V410">
        <f t="shared" si="32"/>
        <v>1</v>
      </c>
      <c r="W410">
        <f t="shared" si="33"/>
        <v>1</v>
      </c>
      <c r="X410">
        <f t="shared" si="34"/>
        <v>1</v>
      </c>
      <c r="Y410">
        <v>273.15</v>
      </c>
    </row>
    <row r="411" spans="1:25">
      <c r="A411" t="s">
        <v>585</v>
      </c>
      <c r="B411" t="s">
        <v>583</v>
      </c>
      <c r="C411" t="s">
        <v>24</v>
      </c>
      <c r="D411" t="s">
        <v>33</v>
      </c>
      <c r="E411" t="s">
        <v>34</v>
      </c>
      <c r="F411" t="s">
        <v>35</v>
      </c>
      <c r="G411" t="s">
        <v>584</v>
      </c>
      <c r="H411" t="s">
        <v>29</v>
      </c>
      <c r="I411" t="s">
        <v>36</v>
      </c>
      <c r="J411" t="s">
        <v>37</v>
      </c>
      <c r="L411">
        <v>60</v>
      </c>
      <c r="M411">
        <v>20</v>
      </c>
      <c r="N411">
        <v>0</v>
      </c>
      <c r="O411">
        <f t="shared" si="30"/>
        <v>0</v>
      </c>
      <c r="P411">
        <v>0</v>
      </c>
      <c r="Q411">
        <v>0</v>
      </c>
      <c r="R411">
        <f t="shared" si="31"/>
        <v>333.15</v>
      </c>
      <c r="U411">
        <v>0.001987</v>
      </c>
      <c r="V411">
        <f t="shared" si="32"/>
        <v>1</v>
      </c>
      <c r="W411">
        <f t="shared" si="33"/>
        <v>1</v>
      </c>
      <c r="X411">
        <f t="shared" si="34"/>
        <v>1</v>
      </c>
      <c r="Y411">
        <v>273.15</v>
      </c>
    </row>
    <row r="412" spans="1:25">
      <c r="A412" t="s">
        <v>586</v>
      </c>
      <c r="B412" t="s">
        <v>583</v>
      </c>
      <c r="C412" t="s">
        <v>24</v>
      </c>
      <c r="D412" t="s">
        <v>39</v>
      </c>
      <c r="E412" t="s">
        <v>40</v>
      </c>
      <c r="F412" t="s">
        <v>41</v>
      </c>
      <c r="G412" t="s">
        <v>584</v>
      </c>
      <c r="H412" t="s">
        <v>29</v>
      </c>
      <c r="I412" t="s">
        <v>42</v>
      </c>
      <c r="J412" t="s">
        <v>43</v>
      </c>
      <c r="L412">
        <v>60</v>
      </c>
      <c r="M412">
        <v>20</v>
      </c>
      <c r="N412">
        <v>0</v>
      </c>
      <c r="O412">
        <f t="shared" si="30"/>
        <v>0</v>
      </c>
      <c r="P412">
        <v>0</v>
      </c>
      <c r="Q412">
        <v>0</v>
      </c>
      <c r="R412">
        <f t="shared" si="31"/>
        <v>333.15</v>
      </c>
      <c r="U412">
        <v>0.001987</v>
      </c>
      <c r="V412">
        <f t="shared" si="32"/>
        <v>1</v>
      </c>
      <c r="W412">
        <f t="shared" si="33"/>
        <v>1</v>
      </c>
      <c r="X412">
        <f t="shared" si="34"/>
        <v>1</v>
      </c>
      <c r="Y412">
        <v>273.15</v>
      </c>
    </row>
    <row r="413" spans="1:25">
      <c r="A413" t="s">
        <v>587</v>
      </c>
      <c r="B413" t="s">
        <v>583</v>
      </c>
      <c r="C413" t="s">
        <v>24</v>
      </c>
      <c r="D413" t="s">
        <v>45</v>
      </c>
      <c r="E413" t="s">
        <v>46</v>
      </c>
      <c r="F413" t="s">
        <v>47</v>
      </c>
      <c r="G413" t="s">
        <v>584</v>
      </c>
      <c r="H413" t="s">
        <v>29</v>
      </c>
      <c r="I413" t="s">
        <v>48</v>
      </c>
      <c r="J413" t="s">
        <v>49</v>
      </c>
      <c r="L413">
        <v>60</v>
      </c>
      <c r="M413">
        <v>20</v>
      </c>
      <c r="N413">
        <v>0</v>
      </c>
      <c r="O413">
        <f t="shared" si="30"/>
        <v>0</v>
      </c>
      <c r="P413">
        <v>0</v>
      </c>
      <c r="Q413">
        <v>0</v>
      </c>
      <c r="R413">
        <f t="shared" si="31"/>
        <v>333.15</v>
      </c>
      <c r="U413">
        <v>0.001987</v>
      </c>
      <c r="V413">
        <f t="shared" si="32"/>
        <v>1</v>
      </c>
      <c r="W413">
        <f t="shared" si="33"/>
        <v>1</v>
      </c>
      <c r="X413">
        <f t="shared" si="34"/>
        <v>1</v>
      </c>
      <c r="Y413">
        <v>273.15</v>
      </c>
    </row>
    <row r="414" spans="1:25">
      <c r="A414" t="s">
        <v>588</v>
      </c>
      <c r="B414" t="s">
        <v>589</v>
      </c>
      <c r="C414" t="s">
        <v>24</v>
      </c>
      <c r="D414" t="s">
        <v>25</v>
      </c>
      <c r="E414" t="s">
        <v>26</v>
      </c>
      <c r="F414" t="s">
        <v>27</v>
      </c>
      <c r="G414" t="s">
        <v>590</v>
      </c>
      <c r="H414" t="s">
        <v>29</v>
      </c>
      <c r="I414" t="s">
        <v>30</v>
      </c>
      <c r="J414" t="s">
        <v>31</v>
      </c>
      <c r="L414">
        <v>60</v>
      </c>
      <c r="M414">
        <v>20</v>
      </c>
      <c r="N414">
        <v>-0.02</v>
      </c>
      <c r="O414">
        <f t="shared" si="30"/>
        <v>0.0264822933491626</v>
      </c>
      <c r="P414">
        <v>1</v>
      </c>
      <c r="Q414">
        <v>0</v>
      </c>
      <c r="R414">
        <f t="shared" si="31"/>
        <v>333.15</v>
      </c>
      <c r="U414">
        <v>0.001987</v>
      </c>
      <c r="V414">
        <f t="shared" si="32"/>
        <v>1.02</v>
      </c>
      <c r="W414">
        <f t="shared" si="33"/>
        <v>0.98</v>
      </c>
      <c r="X414">
        <f t="shared" si="34"/>
        <v>0.96078431372549</v>
      </c>
      <c r="Y414">
        <v>273.15</v>
      </c>
    </row>
    <row r="415" spans="1:25">
      <c r="A415" t="s">
        <v>591</v>
      </c>
      <c r="B415" t="s">
        <v>589</v>
      </c>
      <c r="C415" t="s">
        <v>24</v>
      </c>
      <c r="D415" t="s">
        <v>33</v>
      </c>
      <c r="E415" t="s">
        <v>34</v>
      </c>
      <c r="F415" t="s">
        <v>35</v>
      </c>
      <c r="G415" t="s">
        <v>590</v>
      </c>
      <c r="H415" t="s">
        <v>29</v>
      </c>
      <c r="I415" t="s">
        <v>36</v>
      </c>
      <c r="J415" t="s">
        <v>37</v>
      </c>
      <c r="L415">
        <v>60</v>
      </c>
      <c r="M415">
        <v>20</v>
      </c>
      <c r="N415">
        <v>0.02</v>
      </c>
      <c r="O415">
        <f t="shared" si="30"/>
        <v>-0.0264822933491626</v>
      </c>
      <c r="P415">
        <v>1</v>
      </c>
      <c r="Q415">
        <v>0</v>
      </c>
      <c r="R415">
        <f t="shared" si="31"/>
        <v>333.15</v>
      </c>
      <c r="U415">
        <v>0.001987</v>
      </c>
      <c r="V415">
        <f t="shared" si="32"/>
        <v>0.98</v>
      </c>
      <c r="W415">
        <f t="shared" si="33"/>
        <v>1.02</v>
      </c>
      <c r="X415">
        <f t="shared" si="34"/>
        <v>1.04081632653061</v>
      </c>
      <c r="Y415">
        <v>273.15</v>
      </c>
    </row>
    <row r="416" spans="1:25">
      <c r="A416" t="s">
        <v>592</v>
      </c>
      <c r="B416" t="s">
        <v>589</v>
      </c>
      <c r="C416" t="s">
        <v>24</v>
      </c>
      <c r="D416" t="s">
        <v>39</v>
      </c>
      <c r="E416" t="s">
        <v>40</v>
      </c>
      <c r="F416" t="s">
        <v>41</v>
      </c>
      <c r="G416" t="s">
        <v>590</v>
      </c>
      <c r="H416" t="s">
        <v>29</v>
      </c>
      <c r="I416" t="s">
        <v>42</v>
      </c>
      <c r="J416" t="s">
        <v>43</v>
      </c>
      <c r="L416">
        <v>60</v>
      </c>
      <c r="M416">
        <v>20</v>
      </c>
      <c r="N416">
        <v>0</v>
      </c>
      <c r="O416">
        <f t="shared" si="30"/>
        <v>0</v>
      </c>
      <c r="P416">
        <v>0.83</v>
      </c>
      <c r="Q416">
        <v>0</v>
      </c>
      <c r="R416">
        <f t="shared" si="31"/>
        <v>333.15</v>
      </c>
      <c r="U416">
        <v>0.001987</v>
      </c>
      <c r="V416">
        <f t="shared" si="32"/>
        <v>1</v>
      </c>
      <c r="W416">
        <f t="shared" si="33"/>
        <v>1</v>
      </c>
      <c r="X416">
        <f t="shared" si="34"/>
        <v>1</v>
      </c>
      <c r="Y416">
        <v>273.15</v>
      </c>
    </row>
    <row r="417" spans="1:25">
      <c r="A417" t="s">
        <v>593</v>
      </c>
      <c r="B417" t="s">
        <v>589</v>
      </c>
      <c r="C417" t="s">
        <v>24</v>
      </c>
      <c r="D417" t="s">
        <v>45</v>
      </c>
      <c r="E417" t="s">
        <v>46</v>
      </c>
      <c r="F417" t="s">
        <v>47</v>
      </c>
      <c r="G417" t="s">
        <v>590</v>
      </c>
      <c r="H417" t="s">
        <v>29</v>
      </c>
      <c r="I417" t="s">
        <v>48</v>
      </c>
      <c r="J417" t="s">
        <v>49</v>
      </c>
      <c r="L417">
        <v>60</v>
      </c>
      <c r="M417">
        <v>20</v>
      </c>
      <c r="N417">
        <v>0</v>
      </c>
      <c r="O417">
        <f t="shared" si="30"/>
        <v>0</v>
      </c>
      <c r="P417">
        <v>0.11</v>
      </c>
      <c r="Q417">
        <v>0</v>
      </c>
      <c r="R417">
        <f t="shared" si="31"/>
        <v>333.15</v>
      </c>
      <c r="U417">
        <v>0.001987</v>
      </c>
      <c r="V417">
        <f t="shared" si="32"/>
        <v>1</v>
      </c>
      <c r="W417">
        <f t="shared" si="33"/>
        <v>1</v>
      </c>
      <c r="X417">
        <f t="shared" si="34"/>
        <v>1</v>
      </c>
      <c r="Y417">
        <v>273.15</v>
      </c>
    </row>
    <row r="418" spans="1:25">
      <c r="A418" t="s">
        <v>594</v>
      </c>
      <c r="B418" t="s">
        <v>595</v>
      </c>
      <c r="C418" t="s">
        <v>24</v>
      </c>
      <c r="D418" t="s">
        <v>25</v>
      </c>
      <c r="E418" t="s">
        <v>26</v>
      </c>
      <c r="F418" t="s">
        <v>27</v>
      </c>
      <c r="G418" t="s">
        <v>596</v>
      </c>
      <c r="H418" t="s">
        <v>29</v>
      </c>
      <c r="I418" t="s">
        <v>30</v>
      </c>
      <c r="J418" t="s">
        <v>31</v>
      </c>
      <c r="L418">
        <v>50</v>
      </c>
      <c r="M418">
        <v>60</v>
      </c>
      <c r="N418">
        <v>0</v>
      </c>
      <c r="O418">
        <f t="shared" si="30"/>
        <v>0</v>
      </c>
      <c r="P418">
        <v>0</v>
      </c>
      <c r="Q418">
        <v>0</v>
      </c>
      <c r="R418">
        <f t="shared" si="31"/>
        <v>323.15</v>
      </c>
      <c r="U418">
        <v>0.001987</v>
      </c>
      <c r="V418">
        <f t="shared" si="32"/>
        <v>1</v>
      </c>
      <c r="W418">
        <f t="shared" si="33"/>
        <v>1</v>
      </c>
      <c r="X418">
        <f t="shared" si="34"/>
        <v>1</v>
      </c>
      <c r="Y418">
        <v>273.15</v>
      </c>
    </row>
    <row r="419" spans="1:25">
      <c r="A419" t="s">
        <v>597</v>
      </c>
      <c r="B419" t="s">
        <v>595</v>
      </c>
      <c r="C419" t="s">
        <v>24</v>
      </c>
      <c r="D419" t="s">
        <v>33</v>
      </c>
      <c r="E419" t="s">
        <v>34</v>
      </c>
      <c r="F419" t="s">
        <v>35</v>
      </c>
      <c r="G419" t="s">
        <v>596</v>
      </c>
      <c r="H419" t="s">
        <v>29</v>
      </c>
      <c r="I419" t="s">
        <v>36</v>
      </c>
      <c r="J419" t="s">
        <v>37</v>
      </c>
      <c r="L419">
        <v>50</v>
      </c>
      <c r="M419">
        <v>60</v>
      </c>
      <c r="N419">
        <v>0</v>
      </c>
      <c r="O419">
        <f t="shared" si="30"/>
        <v>0</v>
      </c>
      <c r="P419">
        <v>0</v>
      </c>
      <c r="Q419">
        <v>0</v>
      </c>
      <c r="R419">
        <f t="shared" si="31"/>
        <v>323.15</v>
      </c>
      <c r="U419">
        <v>0.001987</v>
      </c>
      <c r="V419">
        <f t="shared" si="32"/>
        <v>1</v>
      </c>
      <c r="W419">
        <f t="shared" si="33"/>
        <v>1</v>
      </c>
      <c r="X419">
        <f t="shared" si="34"/>
        <v>1</v>
      </c>
      <c r="Y419">
        <v>273.15</v>
      </c>
    </row>
    <row r="420" spans="1:25">
      <c r="A420" t="s">
        <v>598</v>
      </c>
      <c r="B420" t="s">
        <v>595</v>
      </c>
      <c r="C420" t="s">
        <v>24</v>
      </c>
      <c r="D420" t="s">
        <v>39</v>
      </c>
      <c r="E420" t="s">
        <v>40</v>
      </c>
      <c r="F420" t="s">
        <v>41</v>
      </c>
      <c r="G420" t="s">
        <v>596</v>
      </c>
      <c r="H420" t="s">
        <v>29</v>
      </c>
      <c r="I420" t="s">
        <v>42</v>
      </c>
      <c r="J420" t="s">
        <v>43</v>
      </c>
      <c r="L420">
        <v>50</v>
      </c>
      <c r="M420">
        <v>60</v>
      </c>
      <c r="N420">
        <v>0</v>
      </c>
      <c r="O420">
        <f t="shared" si="30"/>
        <v>0</v>
      </c>
      <c r="P420">
        <v>0</v>
      </c>
      <c r="Q420">
        <v>0</v>
      </c>
      <c r="R420">
        <f t="shared" si="31"/>
        <v>323.15</v>
      </c>
      <c r="U420">
        <v>0.001987</v>
      </c>
      <c r="V420">
        <f t="shared" si="32"/>
        <v>1</v>
      </c>
      <c r="W420">
        <f t="shared" si="33"/>
        <v>1</v>
      </c>
      <c r="X420">
        <f t="shared" si="34"/>
        <v>1</v>
      </c>
      <c r="Y420">
        <v>273.15</v>
      </c>
    </row>
    <row r="421" spans="1:25">
      <c r="A421" t="s">
        <v>599</v>
      </c>
      <c r="B421" t="s">
        <v>595</v>
      </c>
      <c r="C421" t="s">
        <v>24</v>
      </c>
      <c r="D421" t="s">
        <v>45</v>
      </c>
      <c r="E421" t="s">
        <v>46</v>
      </c>
      <c r="F421" t="s">
        <v>47</v>
      </c>
      <c r="G421" t="s">
        <v>596</v>
      </c>
      <c r="H421" t="s">
        <v>29</v>
      </c>
      <c r="I421" t="s">
        <v>48</v>
      </c>
      <c r="J421" t="s">
        <v>49</v>
      </c>
      <c r="L421">
        <v>50</v>
      </c>
      <c r="M421">
        <v>60</v>
      </c>
      <c r="N421">
        <v>0</v>
      </c>
      <c r="O421">
        <f t="shared" si="30"/>
        <v>0</v>
      </c>
      <c r="P421">
        <v>0</v>
      </c>
      <c r="Q421">
        <v>0</v>
      </c>
      <c r="R421">
        <f t="shared" si="31"/>
        <v>323.15</v>
      </c>
      <c r="U421">
        <v>0.001987</v>
      </c>
      <c r="V421">
        <f t="shared" si="32"/>
        <v>1</v>
      </c>
      <c r="W421">
        <f t="shared" si="33"/>
        <v>1</v>
      </c>
      <c r="X421">
        <f t="shared" si="34"/>
        <v>1</v>
      </c>
      <c r="Y421">
        <v>273.15</v>
      </c>
    </row>
    <row r="422" spans="1:25">
      <c r="A422" t="s">
        <v>600</v>
      </c>
      <c r="B422" t="s">
        <v>601</v>
      </c>
      <c r="C422" t="s">
        <v>24</v>
      </c>
      <c r="D422" t="s">
        <v>25</v>
      </c>
      <c r="E422" t="s">
        <v>26</v>
      </c>
      <c r="F422" t="s">
        <v>27</v>
      </c>
      <c r="G422" t="s">
        <v>602</v>
      </c>
      <c r="H422" t="s">
        <v>29</v>
      </c>
      <c r="I422" t="s">
        <v>30</v>
      </c>
      <c r="J422" t="s">
        <v>31</v>
      </c>
      <c r="L422">
        <v>50</v>
      </c>
      <c r="M422">
        <v>60</v>
      </c>
      <c r="N422">
        <v>0</v>
      </c>
      <c r="O422">
        <f t="shared" si="30"/>
        <v>0</v>
      </c>
      <c r="P422">
        <v>0</v>
      </c>
      <c r="Q422">
        <v>0</v>
      </c>
      <c r="R422">
        <f t="shared" si="31"/>
        <v>323.15</v>
      </c>
      <c r="U422">
        <v>0.001987</v>
      </c>
      <c r="V422">
        <f t="shared" si="32"/>
        <v>1</v>
      </c>
      <c r="W422">
        <f t="shared" si="33"/>
        <v>1</v>
      </c>
      <c r="X422">
        <f t="shared" si="34"/>
        <v>1</v>
      </c>
      <c r="Y422">
        <v>273.15</v>
      </c>
    </row>
    <row r="423" spans="1:25">
      <c r="A423" t="s">
        <v>603</v>
      </c>
      <c r="B423" t="s">
        <v>601</v>
      </c>
      <c r="C423" t="s">
        <v>24</v>
      </c>
      <c r="D423" t="s">
        <v>33</v>
      </c>
      <c r="E423" t="s">
        <v>34</v>
      </c>
      <c r="F423" t="s">
        <v>35</v>
      </c>
      <c r="G423" t="s">
        <v>602</v>
      </c>
      <c r="H423" t="s">
        <v>29</v>
      </c>
      <c r="I423" t="s">
        <v>36</v>
      </c>
      <c r="J423" t="s">
        <v>37</v>
      </c>
      <c r="L423">
        <v>50</v>
      </c>
      <c r="M423">
        <v>60</v>
      </c>
      <c r="N423">
        <v>0</v>
      </c>
      <c r="O423">
        <f t="shared" si="30"/>
        <v>0</v>
      </c>
      <c r="P423">
        <v>0</v>
      </c>
      <c r="Q423">
        <v>0</v>
      </c>
      <c r="R423">
        <f t="shared" si="31"/>
        <v>323.15</v>
      </c>
      <c r="U423">
        <v>0.001987</v>
      </c>
      <c r="V423">
        <f t="shared" si="32"/>
        <v>1</v>
      </c>
      <c r="W423">
        <f t="shared" si="33"/>
        <v>1</v>
      </c>
      <c r="X423">
        <f t="shared" si="34"/>
        <v>1</v>
      </c>
      <c r="Y423">
        <v>273.15</v>
      </c>
    </row>
    <row r="424" spans="1:25">
      <c r="A424" t="s">
        <v>604</v>
      </c>
      <c r="B424" t="s">
        <v>601</v>
      </c>
      <c r="C424" t="s">
        <v>24</v>
      </c>
      <c r="D424" t="s">
        <v>39</v>
      </c>
      <c r="E424" t="s">
        <v>40</v>
      </c>
      <c r="F424" t="s">
        <v>41</v>
      </c>
      <c r="G424" t="s">
        <v>602</v>
      </c>
      <c r="H424" t="s">
        <v>29</v>
      </c>
      <c r="I424" t="s">
        <v>42</v>
      </c>
      <c r="J424" t="s">
        <v>43</v>
      </c>
      <c r="L424">
        <v>50</v>
      </c>
      <c r="M424">
        <v>60</v>
      </c>
      <c r="N424">
        <v>0</v>
      </c>
      <c r="O424">
        <f t="shared" si="30"/>
        <v>0</v>
      </c>
      <c r="P424">
        <v>0</v>
      </c>
      <c r="Q424">
        <v>0</v>
      </c>
      <c r="R424">
        <f t="shared" si="31"/>
        <v>323.15</v>
      </c>
      <c r="U424">
        <v>0.001987</v>
      </c>
      <c r="V424">
        <f t="shared" si="32"/>
        <v>1</v>
      </c>
      <c r="W424">
        <f t="shared" si="33"/>
        <v>1</v>
      </c>
      <c r="X424">
        <f t="shared" si="34"/>
        <v>1</v>
      </c>
      <c r="Y424">
        <v>273.15</v>
      </c>
    </row>
    <row r="425" spans="1:25">
      <c r="A425" t="s">
        <v>605</v>
      </c>
      <c r="B425" t="s">
        <v>601</v>
      </c>
      <c r="C425" t="s">
        <v>24</v>
      </c>
      <c r="D425" t="s">
        <v>45</v>
      </c>
      <c r="E425" t="s">
        <v>46</v>
      </c>
      <c r="F425" t="s">
        <v>47</v>
      </c>
      <c r="G425" t="s">
        <v>602</v>
      </c>
      <c r="H425" t="s">
        <v>29</v>
      </c>
      <c r="I425" t="s">
        <v>48</v>
      </c>
      <c r="J425" t="s">
        <v>49</v>
      </c>
      <c r="L425">
        <v>50</v>
      </c>
      <c r="M425">
        <v>60</v>
      </c>
      <c r="N425">
        <v>0</v>
      </c>
      <c r="O425">
        <f t="shared" si="30"/>
        <v>0</v>
      </c>
      <c r="P425">
        <v>0</v>
      </c>
      <c r="Q425">
        <v>0</v>
      </c>
      <c r="R425">
        <f t="shared" si="31"/>
        <v>323.15</v>
      </c>
      <c r="U425">
        <v>0.001987</v>
      </c>
      <c r="V425">
        <f t="shared" si="32"/>
        <v>1</v>
      </c>
      <c r="W425">
        <f t="shared" si="33"/>
        <v>1</v>
      </c>
      <c r="X425">
        <f t="shared" si="34"/>
        <v>1</v>
      </c>
      <c r="Y425">
        <v>273.15</v>
      </c>
    </row>
    <row r="426" spans="1:25">
      <c r="A426" t="s">
        <v>606</v>
      </c>
      <c r="B426" t="s">
        <v>365</v>
      </c>
      <c r="C426" t="s">
        <v>278</v>
      </c>
      <c r="F426" t="s">
        <v>607</v>
      </c>
      <c r="G426" t="s">
        <v>366</v>
      </c>
      <c r="H426" t="s">
        <v>280</v>
      </c>
      <c r="L426">
        <v>60</v>
      </c>
      <c r="M426">
        <v>20</v>
      </c>
      <c r="N426">
        <v>-0.89</v>
      </c>
      <c r="O426">
        <f t="shared" si="30"/>
        <v>1.88254183616554</v>
      </c>
      <c r="Q426">
        <v>1</v>
      </c>
      <c r="R426">
        <f t="shared" si="31"/>
        <v>333.15</v>
      </c>
      <c r="U426">
        <v>0.001987</v>
      </c>
      <c r="V426">
        <f t="shared" ref="V426:V437" si="35">1-N426</f>
        <v>1.89</v>
      </c>
      <c r="W426">
        <f t="shared" ref="W426:W437" si="36">1+N426</f>
        <v>0.11</v>
      </c>
      <c r="X426">
        <f t="shared" ref="X426:X437" si="37">W426/V426</f>
        <v>0.0582010582010582</v>
      </c>
      <c r="Y426">
        <v>273.15</v>
      </c>
    </row>
    <row r="427" spans="1:25">
      <c r="A427" t="s">
        <v>608</v>
      </c>
      <c r="B427" t="s">
        <v>365</v>
      </c>
      <c r="C427" t="s">
        <v>278</v>
      </c>
      <c r="F427" t="s">
        <v>609</v>
      </c>
      <c r="G427" t="s">
        <v>366</v>
      </c>
      <c r="H427" t="s">
        <v>280</v>
      </c>
      <c r="L427">
        <v>60</v>
      </c>
      <c r="M427">
        <v>20</v>
      </c>
      <c r="N427">
        <v>-0.85</v>
      </c>
      <c r="O427">
        <f t="shared" si="30"/>
        <v>1.66306856721313</v>
      </c>
      <c r="Q427">
        <v>1</v>
      </c>
      <c r="R427">
        <f t="shared" si="31"/>
        <v>333.15</v>
      </c>
      <c r="U427">
        <v>0.001987</v>
      </c>
      <c r="V427">
        <f t="shared" si="35"/>
        <v>1.85</v>
      </c>
      <c r="W427">
        <f t="shared" si="36"/>
        <v>0.15</v>
      </c>
      <c r="X427">
        <f t="shared" si="37"/>
        <v>0.0810810810810811</v>
      </c>
      <c r="Y427">
        <v>273.15</v>
      </c>
    </row>
    <row r="428" spans="1:25">
      <c r="A428" t="s">
        <v>610</v>
      </c>
      <c r="B428" t="s">
        <v>365</v>
      </c>
      <c r="C428" t="s">
        <v>278</v>
      </c>
      <c r="F428" t="s">
        <v>611</v>
      </c>
      <c r="G428" t="s">
        <v>366</v>
      </c>
      <c r="H428" t="s">
        <v>280</v>
      </c>
      <c r="L428">
        <v>60</v>
      </c>
      <c r="M428">
        <v>20</v>
      </c>
      <c r="N428">
        <v>-0.76</v>
      </c>
      <c r="O428">
        <f t="shared" si="30"/>
        <v>1.31892710331132</v>
      </c>
      <c r="Q428">
        <v>1</v>
      </c>
      <c r="R428">
        <f t="shared" si="31"/>
        <v>333.15</v>
      </c>
      <c r="U428">
        <v>0.001987</v>
      </c>
      <c r="V428">
        <f t="shared" si="35"/>
        <v>1.76</v>
      </c>
      <c r="W428">
        <f t="shared" si="36"/>
        <v>0.24</v>
      </c>
      <c r="X428">
        <f t="shared" si="37"/>
        <v>0.136363636363636</v>
      </c>
      <c r="Y428">
        <v>273.15</v>
      </c>
    </row>
    <row r="429" spans="1:25">
      <c r="A429" t="s">
        <v>612</v>
      </c>
      <c r="B429" t="s">
        <v>365</v>
      </c>
      <c r="C429" t="s">
        <v>278</v>
      </c>
      <c r="F429" t="s">
        <v>613</v>
      </c>
      <c r="G429" t="s">
        <v>366</v>
      </c>
      <c r="H429" t="s">
        <v>280</v>
      </c>
      <c r="L429">
        <v>60</v>
      </c>
      <c r="M429">
        <v>20</v>
      </c>
      <c r="N429">
        <v>-0.84</v>
      </c>
      <c r="O429">
        <f t="shared" si="30"/>
        <v>1.61675814677367</v>
      </c>
      <c r="Q429">
        <v>1</v>
      </c>
      <c r="R429">
        <f t="shared" si="31"/>
        <v>333.15</v>
      </c>
      <c r="U429">
        <v>0.001987</v>
      </c>
      <c r="V429">
        <f t="shared" si="35"/>
        <v>1.84</v>
      </c>
      <c r="W429">
        <f t="shared" si="36"/>
        <v>0.16</v>
      </c>
      <c r="X429">
        <f t="shared" si="37"/>
        <v>0.0869565217391305</v>
      </c>
      <c r="Y429">
        <v>273.15</v>
      </c>
    </row>
    <row r="430" spans="1:25">
      <c r="A430" t="s">
        <v>614</v>
      </c>
      <c r="B430" t="s">
        <v>365</v>
      </c>
      <c r="C430" t="s">
        <v>278</v>
      </c>
      <c r="F430" t="s">
        <v>615</v>
      </c>
      <c r="G430" t="s">
        <v>366</v>
      </c>
      <c r="H430" t="s">
        <v>280</v>
      </c>
      <c r="L430">
        <v>60</v>
      </c>
      <c r="M430">
        <v>20</v>
      </c>
      <c r="N430">
        <v>-0.86</v>
      </c>
      <c r="O430">
        <f t="shared" si="30"/>
        <v>1.71230828775764</v>
      </c>
      <c r="Q430">
        <v>1</v>
      </c>
      <c r="R430">
        <f t="shared" si="31"/>
        <v>333.15</v>
      </c>
      <c r="U430">
        <v>0.001987</v>
      </c>
      <c r="V430">
        <f t="shared" si="35"/>
        <v>1.86</v>
      </c>
      <c r="W430">
        <f t="shared" si="36"/>
        <v>0.14</v>
      </c>
      <c r="X430">
        <f t="shared" si="37"/>
        <v>0.0752688172043011</v>
      </c>
      <c r="Y430">
        <v>273.15</v>
      </c>
    </row>
    <row r="431" spans="1:25">
      <c r="A431" t="s">
        <v>616</v>
      </c>
      <c r="B431" t="s">
        <v>365</v>
      </c>
      <c r="C431" t="s">
        <v>278</v>
      </c>
      <c r="F431" t="s">
        <v>617</v>
      </c>
      <c r="G431" t="s">
        <v>366</v>
      </c>
      <c r="H431" t="s">
        <v>280</v>
      </c>
      <c r="L431">
        <v>60</v>
      </c>
      <c r="M431">
        <v>20</v>
      </c>
      <c r="N431">
        <v>-0.769</v>
      </c>
      <c r="O431">
        <f t="shared" si="30"/>
        <v>1.34760480664446</v>
      </c>
      <c r="Q431">
        <v>1</v>
      </c>
      <c r="R431">
        <f t="shared" si="31"/>
        <v>333.15</v>
      </c>
      <c r="U431">
        <v>0.001987</v>
      </c>
      <c r="V431">
        <f t="shared" si="35"/>
        <v>1.769</v>
      </c>
      <c r="W431">
        <f t="shared" si="36"/>
        <v>0.231</v>
      </c>
      <c r="X431">
        <f t="shared" si="37"/>
        <v>0.130582249858677</v>
      </c>
      <c r="Y431">
        <v>273.15</v>
      </c>
    </row>
    <row r="432" spans="1:25">
      <c r="A432" t="s">
        <v>618</v>
      </c>
      <c r="B432" t="s">
        <v>397</v>
      </c>
      <c r="C432" t="s">
        <v>278</v>
      </c>
      <c r="F432" t="s">
        <v>607</v>
      </c>
      <c r="G432" t="s">
        <v>398</v>
      </c>
      <c r="H432" t="s">
        <v>280</v>
      </c>
      <c r="L432">
        <v>60</v>
      </c>
      <c r="M432">
        <v>20</v>
      </c>
      <c r="N432">
        <v>0.93</v>
      </c>
      <c r="O432">
        <f t="shared" si="30"/>
        <v>-2.19560573203818</v>
      </c>
      <c r="Q432">
        <v>1</v>
      </c>
      <c r="R432">
        <f t="shared" si="31"/>
        <v>333.15</v>
      </c>
      <c r="U432">
        <v>0.001987</v>
      </c>
      <c r="V432">
        <f t="shared" si="35"/>
        <v>0.07</v>
      </c>
      <c r="W432">
        <f t="shared" si="36"/>
        <v>1.93</v>
      </c>
      <c r="X432">
        <f t="shared" si="37"/>
        <v>27.5714285714286</v>
      </c>
      <c r="Y432">
        <v>273.15</v>
      </c>
    </row>
    <row r="433" spans="1:25">
      <c r="A433" t="s">
        <v>619</v>
      </c>
      <c r="B433" t="s">
        <v>397</v>
      </c>
      <c r="C433" t="s">
        <v>278</v>
      </c>
      <c r="F433" t="s">
        <v>609</v>
      </c>
      <c r="G433" t="s">
        <v>398</v>
      </c>
      <c r="H433" t="s">
        <v>280</v>
      </c>
      <c r="L433">
        <v>60</v>
      </c>
      <c r="M433">
        <v>20</v>
      </c>
      <c r="N433">
        <v>0.93</v>
      </c>
      <c r="O433">
        <f t="shared" si="30"/>
        <v>-2.19560573203818</v>
      </c>
      <c r="Q433">
        <v>1</v>
      </c>
      <c r="R433">
        <f t="shared" si="31"/>
        <v>333.15</v>
      </c>
      <c r="U433">
        <v>0.001987</v>
      </c>
      <c r="V433">
        <f t="shared" si="35"/>
        <v>0.07</v>
      </c>
      <c r="W433">
        <f t="shared" si="36"/>
        <v>1.93</v>
      </c>
      <c r="X433">
        <f t="shared" si="37"/>
        <v>27.5714285714286</v>
      </c>
      <c r="Y433">
        <v>273.15</v>
      </c>
    </row>
    <row r="434" spans="1:25">
      <c r="A434" t="s">
        <v>620</v>
      </c>
      <c r="B434" t="s">
        <v>397</v>
      </c>
      <c r="C434" t="s">
        <v>278</v>
      </c>
      <c r="F434" t="s">
        <v>611</v>
      </c>
      <c r="G434" t="s">
        <v>398</v>
      </c>
      <c r="H434" t="s">
        <v>280</v>
      </c>
      <c r="L434">
        <v>60</v>
      </c>
      <c r="M434">
        <v>20</v>
      </c>
      <c r="N434">
        <v>0.9</v>
      </c>
      <c r="O434">
        <f t="shared" si="30"/>
        <v>-1.94912747382178</v>
      </c>
      <c r="Q434">
        <v>1</v>
      </c>
      <c r="R434">
        <f t="shared" si="31"/>
        <v>333.15</v>
      </c>
      <c r="U434">
        <v>0.001987</v>
      </c>
      <c r="V434">
        <f t="shared" si="35"/>
        <v>0.1</v>
      </c>
      <c r="W434">
        <f t="shared" si="36"/>
        <v>1.9</v>
      </c>
      <c r="X434">
        <f t="shared" si="37"/>
        <v>19</v>
      </c>
      <c r="Y434">
        <v>273.15</v>
      </c>
    </row>
    <row r="435" spans="1:25">
      <c r="A435" t="s">
        <v>621</v>
      </c>
      <c r="B435" t="s">
        <v>397</v>
      </c>
      <c r="C435" t="s">
        <v>278</v>
      </c>
      <c r="F435" t="s">
        <v>613</v>
      </c>
      <c r="G435" t="s">
        <v>398</v>
      </c>
      <c r="H435" t="s">
        <v>280</v>
      </c>
      <c r="L435">
        <v>60</v>
      </c>
      <c r="M435">
        <v>20</v>
      </c>
      <c r="N435">
        <v>0.92</v>
      </c>
      <c r="O435">
        <f t="shared" si="30"/>
        <v>-2.10377327492429</v>
      </c>
      <c r="Q435">
        <v>1</v>
      </c>
      <c r="R435">
        <f t="shared" si="31"/>
        <v>333.15</v>
      </c>
      <c r="U435">
        <v>0.001987</v>
      </c>
      <c r="V435">
        <f t="shared" si="35"/>
        <v>0.08</v>
      </c>
      <c r="W435">
        <f t="shared" si="36"/>
        <v>1.92</v>
      </c>
      <c r="X435">
        <f t="shared" si="37"/>
        <v>24</v>
      </c>
      <c r="Y435">
        <v>273.15</v>
      </c>
    </row>
    <row r="436" spans="1:25">
      <c r="A436" t="s">
        <v>622</v>
      </c>
      <c r="B436" t="s">
        <v>397</v>
      </c>
      <c r="C436" t="s">
        <v>278</v>
      </c>
      <c r="F436" t="s">
        <v>615</v>
      </c>
      <c r="G436" t="s">
        <v>398</v>
      </c>
      <c r="H436" t="s">
        <v>280</v>
      </c>
      <c r="L436">
        <v>60</v>
      </c>
      <c r="M436">
        <v>20</v>
      </c>
      <c r="N436">
        <v>0.92</v>
      </c>
      <c r="O436">
        <f t="shared" si="30"/>
        <v>-2.10377327492429</v>
      </c>
      <c r="Q436">
        <v>1</v>
      </c>
      <c r="R436">
        <f t="shared" si="31"/>
        <v>333.15</v>
      </c>
      <c r="U436">
        <v>0.001987</v>
      </c>
      <c r="V436">
        <f t="shared" si="35"/>
        <v>0.08</v>
      </c>
      <c r="W436">
        <f t="shared" si="36"/>
        <v>1.92</v>
      </c>
      <c r="X436">
        <f t="shared" si="37"/>
        <v>24</v>
      </c>
      <c r="Y436">
        <v>273.15</v>
      </c>
    </row>
    <row r="437" spans="1:25">
      <c r="A437" t="s">
        <v>623</v>
      </c>
      <c r="B437" t="s">
        <v>397</v>
      </c>
      <c r="C437" t="s">
        <v>278</v>
      </c>
      <c r="F437" t="s">
        <v>617</v>
      </c>
      <c r="G437" t="s">
        <v>398</v>
      </c>
      <c r="H437" t="s">
        <v>280</v>
      </c>
      <c r="L437">
        <v>60</v>
      </c>
      <c r="M437">
        <v>20</v>
      </c>
      <c r="N437">
        <v>0.87</v>
      </c>
      <c r="O437">
        <f t="shared" si="30"/>
        <v>-1.76491491208912</v>
      </c>
      <c r="Q437">
        <v>1</v>
      </c>
      <c r="R437">
        <f t="shared" si="31"/>
        <v>333.15</v>
      </c>
      <c r="U437">
        <v>0.001987</v>
      </c>
      <c r="V437">
        <f t="shared" si="35"/>
        <v>0.13</v>
      </c>
      <c r="W437">
        <f t="shared" si="36"/>
        <v>1.87</v>
      </c>
      <c r="X437">
        <f t="shared" si="37"/>
        <v>14.3846153846154</v>
      </c>
      <c r="Y437">
        <v>273.15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full_data_436-20260624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翟纪航</cp:lastModifiedBy>
  <dcterms:created xsi:type="dcterms:W3CDTF">2026-06-30T04:23:00Z</dcterms:created>
  <dcterms:modified xsi:type="dcterms:W3CDTF">2026-06-30T15:34:19Z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4B002E9E1EA231314465426ADF902C61_43</vt:lpwstr>
  </property>
  <property fmtid="{D5CDD505-2E9C-101B-9397-08002B2CF9AE}" pid="3" name="KSOProductBuildVer">
    <vt:lpwstr>2052-12.1.2.26885</vt:lpwstr>
  </property>
  <property fmtid="{D5CDD505-2E9C-101B-9397-08002B2CF9AE}" pid="4" name="CalculationRule">
    <vt:i4>0</vt:i4>
  </property>
</Properties>
</file>